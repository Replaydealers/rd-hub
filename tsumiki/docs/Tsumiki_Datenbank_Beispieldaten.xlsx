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" state="visible" r:id="rId4"/>
    <sheet sheetId="2" name="Parameter" state="visible" r:id="rId5"/>
    <sheet sheetId="3" name="Kalkulator" state="visible" r:id="rId6"/>
    <sheet sheetId="4" name="Bestellungen" state="visible" r:id="rId7"/>
    <sheet sheetId="5" name="Positionen" state="visible" r:id="rId8"/>
    <sheet sheetId="6" name="Sammelsendungen" state="visible" r:id="rId9"/>
    <sheet sheetId="7" name="Rechnungen" state="visible" r:id="rId10"/>
    <sheet sheetId="8" name="Journal" state="visible" r:id="rId11"/>
    <sheet sheetId="9" name="Postausgang" state="visible" r:id="rId12"/>
    <sheet sheetId="10" name="Protokoll" state="visible" r:id="rId13"/>
    <sheet sheetId="11" name="Auswertung" state="visible" r:id="rId14"/>
  </sheets>
  <calcPr calcId="171027" fullCalcOnLoad="1"/>
</workbook>
</file>

<file path=xl/sharedStrings.xml><?xml version="1.0" encoding="utf-8"?>
<sst xmlns="http://schemas.openxmlformats.org/spreadsheetml/2006/main" count="862" uniqueCount="502">
  <si>
    <t>Tsumiki – Datenbank</t>
  </si>
  <si>
    <t>Diese Datei ist die Datenbank des Systems. Die Website schreibt jede Bestellung sofort hier hinein.</t>
  </si>
  <si>
    <t>Wichtig: Datei nicht geöffnet lassen, während Bestellungen laufen – Excel sperrt sie sonst (das System legt dann eine Sicherungskopie an).</t>
  </si>
  <si>
    <t/>
  </si>
  <si>
    <t>Blätter</t>
  </si>
  <si>
    <t>Parameter – alle Preise, Gebühren, Kurse und Regeln. Nur Spalte "Wert" ändern.</t>
  </si>
  <si>
    <t>Kalkulator – Endpreis für einen Artikel ausrechnen, ohne die Website zu öffnen.</t>
  </si>
  <si>
    <t>Bestellungen / Positionen – jede Kundenbestellung und jeder einzelne Artikel.</t>
  </si>
  <si>
    <t>Sammelsendungen – jede Kiste aus Japan mit kalkulierten und tatsächlichen Kosten.</t>
  </si>
  <si>
    <t>Rechnungen – fortlaufend nummeriert, nie ändern oder löschen (GoBD). Korrektur nur per Gutschrift.</t>
  </si>
  <si>
    <t>Journal – alle Buchungen (Kontenvorschlag SKR03, mit Steuerberaterin abstimmen).</t>
  </si>
  <si>
    <t>Postausgang – jede E-Mail, die an Kunden ging.</t>
  </si>
  <si>
    <t>Protokoll – wer hat wann was gemacht.</t>
  </si>
  <si>
    <t>Auswertung – Kennzahlen auf einen Blick.</t>
  </si>
  <si>
    <t>Schlüssel</t>
  </si>
  <si>
    <t>Wert</t>
  </si>
  <si>
    <t>Einheit</t>
  </si>
  <si>
    <t>Beschreibung</t>
  </si>
  <si>
    <t>marke_name</t>
  </si>
  <si>
    <t>Tsumiki</t>
  </si>
  <si>
    <t>Markenname auf Website, Mails und Rechnungen</t>
  </si>
  <si>
    <t>firma_inhaber</t>
  </si>
  <si>
    <t>Bastian Karlshaus</t>
  </si>
  <si>
    <t>Unternehmer (Einzelunternehmen)</t>
  </si>
  <si>
    <t>firma_strasse</t>
  </si>
  <si>
    <t>[Straße Hausnummer]</t>
  </si>
  <si>
    <t>Anschrift für Impressum und Rechnung</t>
  </si>
  <si>
    <t>firma_plz_ort</t>
  </si>
  <si>
    <t>[PLZ] Wuppertal</t>
  </si>
  <si>
    <t>firma_email</t>
  </si>
  <si>
    <t>hallo@[domain].de</t>
  </si>
  <si>
    <t>Kontakt-E-Mail</t>
  </si>
  <si>
    <t>firma_ustid</t>
  </si>
  <si>
    <t>[USt-IdNr. folgt]</t>
  </si>
  <si>
    <t>USt-IdNr. oder Steuernummer für Rechnungen</t>
  </si>
  <si>
    <t>firma_iban</t>
  </si>
  <si>
    <t>DE00 0000 0000 0000 0000 00</t>
  </si>
  <si>
    <t>Bankverbindung für Überweisung (Platzhalter)</t>
  </si>
  <si>
    <t>kurs_jpy_je_eur_fallback</t>
  </si>
  <si>
    <t>JPY/EUR</t>
  </si>
  <si>
    <t>Fallback-Kurs, falls der Tageskurs nicht abrufbar ist</t>
  </si>
  <si>
    <t>kurs_puffer</t>
  </si>
  <si>
    <t>%</t>
  </si>
  <si>
    <t>Sicherheitsabschlag auf den Tageskurs (Wise-Gebühr + Schwankung bis zum Kauf)</t>
  </si>
  <si>
    <t>sendico_gebuehr_jpy</t>
  </si>
  <si>
    <t>JPY</t>
  </si>
  <si>
    <t>Sendico-Servicegebühr je Kauf</t>
  </si>
  <si>
    <t>sendico_aufschlag_marktplatz_jpy</t>
  </si>
  <si>
    <t>Zusatz bei Mercari und Yahoo Auctions (seit 01.08.2026)</t>
  </si>
  <si>
    <t>inlandsversand_japan_schaetzung_jpy</t>
  </si>
  <si>
    <t>Schätzung, wenn der Inlandsversand nicht im Preis enthalten ist</t>
  </si>
  <si>
    <t>fracht_eur_je_kg</t>
  </si>
  <si>
    <t>EUR/kg</t>
  </si>
  <si>
    <t>Kurier-Economy Japan → DE (Schätzung aus Tarifen)</t>
  </si>
  <si>
    <t>sendung_fixkosten_eur</t>
  </si>
  <si>
    <t>EUR</t>
  </si>
  <si>
    <t>Grundpreis Fracht + Verzollungsgebühr je Sammelsendung (RD-Ist: 15–89 € Gebühren)</t>
  </si>
  <si>
    <t>sendung_erwartete_positionen</t>
  </si>
  <si>
    <t>Stück</t>
  </si>
  <si>
    <t>Auf so viele Positionen werden die Fixkosten verteilt</t>
  </si>
  <si>
    <t>zoll_satz_karten</t>
  </si>
  <si>
    <t>Zollsatz 9504 40 00 (Spielkarten), ohne Ursprungsnachweis</t>
  </si>
  <si>
    <t>mindestmenge_sendung</t>
  </si>
  <si>
    <t>Aufträge</t>
  </si>
  <si>
    <t>Sammelsendung geht ab dieser Anzahl Aufträge raus</t>
  </si>
  <si>
    <t>stichtag_tag</t>
  </si>
  <si>
    <t>Tag</t>
  </si>
  <si>
    <t>Monatlicher Stichtag für die Sammelsendung</t>
  </si>
  <si>
    <t>laufzeit_tage_min</t>
  </si>
  <si>
    <t>Tage</t>
  </si>
  <si>
    <t>Lieferzeit ab Stichtag bis zum Kunden (min)</t>
  </si>
  <si>
    <t>laufzeit_tage_max</t>
  </si>
  <si>
    <t>Lieferzeit ab Stichtag bis zum Kunden (max)</t>
  </si>
  <si>
    <t>gewicht_einzelkarte_kg</t>
  </si>
  <si>
    <t>kg</t>
  </si>
  <si>
    <t>gewicht_slab_kg</t>
  </si>
  <si>
    <t>Gegradete Karte (PSA/BGS/CGC)</t>
  </si>
  <si>
    <t>gewicht_booster_kg</t>
  </si>
  <si>
    <t>Booster / einzelne Packs</t>
  </si>
  <si>
    <t>gewicht_display_kg</t>
  </si>
  <si>
    <t>Display / Box (versiegelt)</t>
  </si>
  <si>
    <t>gewicht_sonstiges_kg</t>
  </si>
  <si>
    <t>Deck, Promo-Set, Zubehör</t>
  </si>
  <si>
    <t>gebuehr_grund_eur</t>
  </si>
  <si>
    <t>Servicegebühr fix je Bestellung</t>
  </si>
  <si>
    <t>gebuehr_prozent</t>
  </si>
  <si>
    <t>Servicegebühr auf den Warenwert (1–2 Artikel)</t>
  </si>
  <si>
    <t>gebuehr_prozent_ab3</t>
  </si>
  <si>
    <t>Mengenrabatt ab 3 Artikeln</t>
  </si>
  <si>
    <t>gebuehr_prozent_ab6</t>
  </si>
  <si>
    <t>Mengenrabatt ab 6 Artikeln</t>
  </si>
  <si>
    <t>gebuehr_max_eur</t>
  </si>
  <si>
    <t>Deckel für die Servicegebühr je Bestellung</t>
  </si>
  <si>
    <t>warenwert_min_eur</t>
  </si>
  <si>
    <t>Mindestwert je Artikel</t>
  </si>
  <si>
    <t>warenwert_max_eur</t>
  </si>
  <si>
    <t>Höchstwert je Artikel (Versandrisiko!)</t>
  </si>
  <si>
    <t>versand_de_grenze_eur</t>
  </si>
  <si>
    <t>Bis zu diesem Warenwert günstiger Versand</t>
  </si>
  <si>
    <t>versand_de_klein_eur</t>
  </si>
  <si>
    <t>Versand DE bis Grenze (Brief mit Sendungsverfolgung)</t>
  </si>
  <si>
    <t>versand_de_paket_eur</t>
  </si>
  <si>
    <t>Versand DE über Grenze (DHL Paket, versichert)</t>
  </si>
  <si>
    <t>versand_eu_klein_eur</t>
  </si>
  <si>
    <t>Versand EU bis Grenze – ZU PRÜFEN (Warenpost International)</t>
  </si>
  <si>
    <t>versand_eu_paket_eur</t>
  </si>
  <si>
    <t>Versand EU über Grenze (Paket mit Tracking)</t>
  </si>
  <si>
    <t>ust_satz_de</t>
  </si>
  <si>
    <t>Umsatzsteuer Deutschland</t>
  </si>
  <si>
    <t>oss_aktiv</t>
  </si>
  <si>
    <t>0/1</t>
  </si>
  <si>
    <t>1 = Lieferschwelle 10.000 € überschritten → USt des Ziellandes (OSS)</t>
  </si>
  <si>
    <t>allein_kurier_grund_eur</t>
  </si>
  <si>
    <t>Kurier Japan → Haustür, Grundpreis kleines Paket</t>
  </si>
  <si>
    <t>allein_kurier_eur_je_kg</t>
  </si>
  <si>
    <t>allein_pauschalzoll_eur</t>
  </si>
  <si>
    <t>Pauschalzoll je Warenkategorie bis 150 € (seit 01.07.2026)</t>
  </si>
  <si>
    <t>allein_verzollungsgebuehr_eur</t>
  </si>
  <si>
    <t>Gebühr des Kuriers für die Verzollung (DHL Express min. 14,88 €)</t>
  </si>
  <si>
    <t>zahlung_prozent</t>
  </si>
  <si>
    <t>Zahlungsgebühr variabel (PayPal/Stripe, Schätzung)</t>
  </si>
  <si>
    <t>zahlung_fix_eur</t>
  </si>
  <si>
    <t>Zahlungsgebühr fix je Zahlung</t>
  </si>
  <si>
    <t>Endpreis-Kalkulator (ein Artikel, Lieferung nach Deutschland)</t>
  </si>
  <si>
    <t>Gelbe Felder ausfüllen. Ergebnis entspricht dem Preis auf der Website.</t>
  </si>
  <si>
    <t>Artikelart → Gewicht (kg)</t>
  </si>
  <si>
    <t>Preis in Japan (¥)</t>
  </si>
  <si>
    <t>Einzelkarte</t>
  </si>
  <si>
    <t>Artikelart</t>
  </si>
  <si>
    <t>Gegradete Karte</t>
  </si>
  <si>
    <t>Inlandsversand im Preis enthalten? (ja/nein)</t>
  </si>
  <si>
    <t>ja</t>
  </si>
  <si>
    <t>Booster / Packs</t>
  </si>
  <si>
    <t>Mercari oder Yahoo? (ja/nein)</t>
  </si>
  <si>
    <t>Display / Box</t>
  </si>
  <si>
    <t>Anzahl Artikel in der Bestellung (für Rabatt)</t>
  </si>
  <si>
    <t>Tageskurs ¥ je € (EZB)</t>
  </si>
  <si>
    <t>Effektiver Kurs (mit Puffer)</t>
  </si>
  <si>
    <t>Warenwert (€)</t>
  </si>
  <si>
    <t>Inlandsversand Japan (€)</t>
  </si>
  <si>
    <t>Sendico-Gebühr (€)</t>
  </si>
  <si>
    <t>Gewicht (kg)</t>
  </si>
  <si>
    <t>Fracht + Anteil Fixkosten (€)</t>
  </si>
  <si>
    <t>Zoll (€)</t>
  </si>
  <si>
    <t>Servicegebühr (€)</t>
  </si>
  <si>
    <t>Versand zum Kunden (€)</t>
  </si>
  <si>
    <t>Summe netto (€)</t>
  </si>
  <si>
    <t>Umsatzsteuer (€)</t>
  </si>
  <si>
    <t>ENDPREIS für den Kunden (€)</t>
  </si>
  <si>
    <t>Vergleich: Kunde bestellt allein (€)</t>
  </si>
  <si>
    <t>Ersparnis für den Kunden (€)</t>
  </si>
  <si>
    <t>Dein Gewinn (Gebühr − Zahlungsgebühr) (€)</t>
  </si>
  <si>
    <t>BE_Nr</t>
  </si>
  <si>
    <t>BE_Token</t>
  </si>
  <si>
    <t>BE_Datum</t>
  </si>
  <si>
    <t>BE_Status</t>
  </si>
  <si>
    <t>BE_Name</t>
  </si>
  <si>
    <t>BE_Email</t>
  </si>
  <si>
    <t>BE_Strasse</t>
  </si>
  <si>
    <t>BE_PLZ</t>
  </si>
  <si>
    <t>BE_Ort</t>
  </si>
  <si>
    <t>BE_Land</t>
  </si>
  <si>
    <t>BE_Zahlart</t>
  </si>
  <si>
    <t>BE_Zahlstatus</t>
  </si>
  <si>
    <t>BE_Zahlungsref</t>
  </si>
  <si>
    <t>BE_Betrag_reserviert</t>
  </si>
  <si>
    <t>BE_Betrag_abgebucht</t>
  </si>
  <si>
    <t>BE_Warenwert</t>
  </si>
  <si>
    <t>BE_Importkosten_kalk</t>
  </si>
  <si>
    <t>BE_Servicegebuehr</t>
  </si>
  <si>
    <t>BE_Versand</t>
  </si>
  <si>
    <t>BE_Netto</t>
  </si>
  <si>
    <t>BE_USt_Satz</t>
  </si>
  <si>
    <t>BE_USt</t>
  </si>
  <si>
    <t>BE_Brutto</t>
  </si>
  <si>
    <t>BE_Vergleich_allein</t>
  </si>
  <si>
    <t>BE_Kurs_JPY</t>
  </si>
  <si>
    <t>BE_Sendung</t>
  </si>
  <si>
    <t>BE_Rechnung</t>
  </si>
  <si>
    <t>BE_Versanddatum</t>
  </si>
  <si>
    <t>BE_Tracking</t>
  </si>
  <si>
    <t>BE_Notiz</t>
  </si>
  <si>
    <t>T-2026-0001</t>
  </si>
  <si>
    <t>y4ertga730uyvix4</t>
  </si>
  <si>
    <t>versendet</t>
  </si>
  <si>
    <t>Lena Hoffmann</t>
  </si>
  <si>
    <t>lena@example.de</t>
  </si>
  <si>
    <t>Musterstraße 1</t>
  </si>
  <si>
    <t>50667</t>
  </si>
  <si>
    <t>Köln</t>
  </si>
  <si>
    <t>DE</t>
  </si>
  <si>
    <t>paypal</t>
  </si>
  <si>
    <t>abgebucht</t>
  </si>
  <si>
    <t>DEMO-T-2026-0001</t>
  </si>
  <si>
    <t>S-2026-09-1</t>
  </si>
  <si>
    <t>RE-2026-0001</t>
  </si>
  <si>
    <t>003404342460298630</t>
  </si>
  <si>
    <t>T-2026-0002</t>
  </si>
  <si>
    <t>v3wzgijaoivp7mnb</t>
  </si>
  <si>
    <t>Jonas Becker</t>
  </si>
  <si>
    <t>jonas@example.de</t>
  </si>
  <si>
    <t>42103</t>
  </si>
  <si>
    <t>Wuppertal</t>
  </si>
  <si>
    <t>stripe</t>
  </si>
  <si>
    <t>DEMO-T-2026-0002</t>
  </si>
  <si>
    <t>RE-2026-0002</t>
  </si>
  <si>
    <t>003404347721327561</t>
  </si>
  <si>
    <t>T-2026-0003</t>
  </si>
  <si>
    <t>ncs9rl8kdnmubgr1</t>
  </si>
  <si>
    <t>Mia Wagner</t>
  </si>
  <si>
    <t>mia@example.de</t>
  </si>
  <si>
    <t>1010</t>
  </si>
  <si>
    <t>Wien</t>
  </si>
  <si>
    <t>AT</t>
  </si>
  <si>
    <t>ueberweisung</t>
  </si>
  <si>
    <t>bezahlt</t>
  </si>
  <si>
    <t>RE-2026-0003</t>
  </si>
  <si>
    <t>003404342558005126</t>
  </si>
  <si>
    <t>T-2026-0004</t>
  </si>
  <si>
    <t>e0n1di8agv9gy13z</t>
  </si>
  <si>
    <t>gekauft</t>
  </si>
  <si>
    <t>Tim Schulz</t>
  </si>
  <si>
    <t>tim@example.de</t>
  </si>
  <si>
    <t>40210</t>
  </si>
  <si>
    <t>Düsseldorf</t>
  </si>
  <si>
    <t>DEMO-T-2026-0004</t>
  </si>
  <si>
    <t>T-2026-0005</t>
  </si>
  <si>
    <t>79dtwjhbzn3cvmk2</t>
  </si>
  <si>
    <t>Sara Klein</t>
  </si>
  <si>
    <t>sara@example.de</t>
  </si>
  <si>
    <t>45127</t>
  </si>
  <si>
    <t>Essen</t>
  </si>
  <si>
    <t>DEMO-T-2026-0005</t>
  </si>
  <si>
    <t>T-2026-0006</t>
  </si>
  <si>
    <t>t5ezyohtuy035kzw</t>
  </si>
  <si>
    <t>neu</t>
  </si>
  <si>
    <t>Paul Neumann</t>
  </si>
  <si>
    <t>paul@example.de</t>
  </si>
  <si>
    <t>44787</t>
  </si>
  <si>
    <t>Bochum</t>
  </si>
  <si>
    <t>reserviert</t>
  </si>
  <si>
    <t>DEMO-T-2026-0006</t>
  </si>
  <si>
    <t>POS_Nr</t>
  </si>
  <si>
    <t>POS_Bestellung</t>
  </si>
  <si>
    <t>POS_Status</t>
  </si>
  <si>
    <t>POS_Link</t>
  </si>
  <si>
    <t>POS_Plattform</t>
  </si>
  <si>
    <t>POS_Titel</t>
  </si>
  <si>
    <t>POS_Art</t>
  </si>
  <si>
    <t>POS_Menge</t>
  </si>
  <si>
    <t>POS_Preis_JPY</t>
  </si>
  <si>
    <t>POS_Inland_JPY</t>
  </si>
  <si>
    <t>POS_Sendico_JPY</t>
  </si>
  <si>
    <t>POS_Gewicht_kg</t>
  </si>
  <si>
    <t>POS_Ware_EUR_kalk</t>
  </si>
  <si>
    <t>POS_Import_EUR_kalk</t>
  </si>
  <si>
    <t>POS_Zoll_EUR_kalk</t>
  </si>
  <si>
    <t>POS_Fracht_EUR_kalk</t>
  </si>
  <si>
    <t>POS_Netto_EUR</t>
  </si>
  <si>
    <t>POS_Brutto_EUR</t>
  </si>
  <si>
    <t>POS_Sendico_Nr</t>
  </si>
  <si>
    <t>POS_Kaufdatum</t>
  </si>
  <si>
    <t>POS_Ist_Preis_JPY</t>
  </si>
  <si>
    <t>POS_Ist_Kurs</t>
  </si>
  <si>
    <t>POS_Ist_Ware_EUR</t>
  </si>
  <si>
    <t>POS_Ist_Sendico_EUR</t>
  </si>
  <si>
    <t>POS_Ist_Logistik_EUR</t>
  </si>
  <si>
    <t>POS_Sendung</t>
  </si>
  <si>
    <t>POS_Geprueft</t>
  </si>
  <si>
    <t>T-2026-0001-1</t>
  </si>
  <si>
    <t>https://jp.mercari.com/item/m81234567011</t>
  </si>
  <si>
    <t>mercari</t>
  </si>
  <si>
    <t>Pikachu Promo (japanisch)</t>
  </si>
  <si>
    <t>einzelkarte</t>
  </si>
  <si>
    <t>Z-165243</t>
  </si>
  <si>
    <t>T-2026-0001-2</t>
  </si>
  <si>
    <t>https://jp.mercari.com/item/m81234567012</t>
  </si>
  <si>
    <t>Evoli Illustration Rare</t>
  </si>
  <si>
    <t>Z-162253</t>
  </si>
  <si>
    <t>T-2026-0002-1</t>
  </si>
  <si>
    <t>https://page.auctions.yahoo.co.jp/jp/auction/x123456789</t>
  </si>
  <si>
    <t>yahoo</t>
  </si>
  <si>
    <t>PSA 10 Gengar (japanisch)</t>
  </si>
  <si>
    <t>slab</t>
  </si>
  <si>
    <t>Z-160889</t>
  </si>
  <si>
    <t>T-2026-0003-1</t>
  </si>
  <si>
    <t>https://www.suruga-ya.jp/product/detail/602000001</t>
  </si>
  <si>
    <t>surugaya</t>
  </si>
  <si>
    <t>One Piece Card Game Booster Display</t>
  </si>
  <si>
    <t>display</t>
  </si>
  <si>
    <t>Z-160404</t>
  </si>
  <si>
    <t>T-2026-0003-2</t>
  </si>
  <si>
    <t>https://jp.mercari.com/item/m81234567031</t>
  </si>
  <si>
    <t>Yu-Gi-Oh! OCG Booster (3 Packs)</t>
  </si>
  <si>
    <t>booster</t>
  </si>
  <si>
    <t>Z-162161</t>
  </si>
  <si>
    <t>T-2026-0004-1</t>
  </si>
  <si>
    <t>https://jp.mercari.com/item/m81234567041</t>
  </si>
  <si>
    <t>Glurak SAR (japanisch)</t>
  </si>
  <si>
    <t>Z-165893</t>
  </si>
  <si>
    <t>T-2026-0004-2</t>
  </si>
  <si>
    <t>https://jp.mercari.com/item/m81234567042</t>
  </si>
  <si>
    <t>Mew Promo (japanisch)</t>
  </si>
  <si>
    <t>Z-161163</t>
  </si>
  <si>
    <t>T-2026-0004-3</t>
  </si>
  <si>
    <t>nicht_verfuegbar</t>
  </si>
  <si>
    <t>https://jp.mercari.com/item/m81234567043</t>
  </si>
  <si>
    <t>Relaxo Art Rare</t>
  </si>
  <si>
    <t>T-2026-0005-1</t>
  </si>
  <si>
    <t>https://jp.mercari.com/item/m81234567051</t>
  </si>
  <si>
    <t>Nachtara Alt Art (japanisch)</t>
  </si>
  <si>
    <t>Z-160845</t>
  </si>
  <si>
    <t>T-2026-0006-1</t>
  </si>
  <si>
    <t>angefragt</t>
  </si>
  <si>
    <t>https://jp.mercari.com/item/m81234567061</t>
  </si>
  <si>
    <t>PSA 10 Bisasam (japanisch)</t>
  </si>
  <si>
    <t>T-2026-0006-2</t>
  </si>
  <si>
    <t>https://item.fril.jp/abc123</t>
  </si>
  <si>
    <t>rakuma</t>
  </si>
  <si>
    <t>Digimon Card Game Promo</t>
  </si>
  <si>
    <t>SE_Nr</t>
  </si>
  <si>
    <t>SE_Status</t>
  </si>
  <si>
    <t>SE_Erstellt</t>
  </si>
  <si>
    <t>SE_Kurier</t>
  </si>
  <si>
    <t>SE_Tracking</t>
  </si>
  <si>
    <t>SE_Gewicht_kg</t>
  </si>
  <si>
    <t>SE_Fracht_JPY</t>
  </si>
  <si>
    <t>SE_Fracht_EUR</t>
  </si>
  <si>
    <t>SE_Zoll_EUR</t>
  </si>
  <si>
    <t>SE_EUSt_EUR</t>
  </si>
  <si>
    <t>SE_Verzollung_EUR</t>
  </si>
  <si>
    <t>SE_Sonstiges_EUR</t>
  </si>
  <si>
    <t>SE_Positionen</t>
  </si>
  <si>
    <t>SE_Auftraege</t>
  </si>
  <si>
    <t>SE_Warenwert_EUR</t>
  </si>
  <si>
    <t>SE_Logistik_kalk_EUR</t>
  </si>
  <si>
    <t>SE_Logistik_ist_EUR</t>
  </si>
  <si>
    <t>SE_Abweichung_EUR</t>
  </si>
  <si>
    <t>SE_Versendet</t>
  </si>
  <si>
    <t>SE_Angekommen</t>
  </si>
  <si>
    <t>angekommen</t>
  </si>
  <si>
    <t>FedEx Economy (Sendico)</t>
  </si>
  <si>
    <t>7712 3456 0001</t>
  </si>
  <si>
    <t>RE_Nr</t>
  </si>
  <si>
    <t>RE_Datum</t>
  </si>
  <si>
    <t>RE_Leistungsdatum</t>
  </si>
  <si>
    <t>RE_Bestellung</t>
  </si>
  <si>
    <t>RE_Typ</t>
  </si>
  <si>
    <t>RE_Bezug</t>
  </si>
  <si>
    <t>RE_Kunde</t>
  </si>
  <si>
    <t>RE_Land</t>
  </si>
  <si>
    <t>RE_Netto</t>
  </si>
  <si>
    <t>RE_USt_Satz</t>
  </si>
  <si>
    <t>RE_USt</t>
  </si>
  <si>
    <t>RE_Brutto</t>
  </si>
  <si>
    <t>RE_Positionen</t>
  </si>
  <si>
    <t>Rechnung</t>
  </si>
  <si>
    <t>[{"text":"Pikachu Promo (japanisch) (mercari, 1 Stk.)","sub":"Beschaffung in Japan inkl. Import · Sendico-Nr. Z-165243","net":68.97},{"text":"Evoli Illustration Rare (mercari, 1 Stk.)","sub":"Beschaffung in Japan inkl. Import · Sendico-Nr. Z-162253","net":34.77}]</t>
  </si>
  <si>
    <t>[{"text":"PSA 10 Gengar (japanisch) (yahoo, 1 Stk.)","sub":"Beschaffung in Japan inkl. Import · Sendico-Nr. Z-160889","net":177.64}]</t>
  </si>
  <si>
    <t>[{"text":"One Piece Card Game Booster Display (surugaya, 1 Stk.)","sub":"Beschaffung in Japan inkl. Import · Sendico-Nr. Z-160404","net":64.64},{"text":"Yu-Gi-Oh! OCG Booster (3 Packs) (mercari, 1 Stk.)","sub":"Beschaffung in Japan inkl. Import · Sendico-Nr. Z-162161","net":25.82}]</t>
  </si>
  <si>
    <t>BU_Nr</t>
  </si>
  <si>
    <t>BU_Datum</t>
  </si>
  <si>
    <t>BU_Beleg</t>
  </si>
  <si>
    <t>BU_Text</t>
  </si>
  <si>
    <t>BU_Soll</t>
  </si>
  <si>
    <t>BU_Haben</t>
  </si>
  <si>
    <t>BU_Betrag</t>
  </si>
  <si>
    <t>BU_Steuer</t>
  </si>
  <si>
    <t>BU_Steuerbetrag</t>
  </si>
  <si>
    <t>BU_Bezug</t>
  </si>
  <si>
    <t>Überweisung T-2026-0003 Mia Wagner</t>
  </si>
  <si>
    <t>USt 19 % (Anzahlung)</t>
  </si>
  <si>
    <t>Wareneinkauf Japan mercari Z-165243</t>
  </si>
  <si>
    <t>Sendico-Gebühr Z-165243</t>
  </si>
  <si>
    <t>§13b (Leistung aus Drittland – prüfen)</t>
  </si>
  <si>
    <t>Wareneinkauf Japan mercari Z-162253</t>
  </si>
  <si>
    <t>Sendico-Gebühr Z-162253</t>
  </si>
  <si>
    <t>Zahlung paypal T-2026-0001 Lena Hoffmann</t>
  </si>
  <si>
    <t>Zahlungsgebühr paypal (Schätzung, Ist laut Abrechnung)</t>
  </si>
  <si>
    <t>Wareneinkauf Japan yahoo Z-160889</t>
  </si>
  <si>
    <t>Sendico-Gebühr Z-160889</t>
  </si>
  <si>
    <t>Zahlung stripe T-2026-0002 Jonas Becker</t>
  </si>
  <si>
    <t>Zahlungsgebühr stripe (Schätzung, Ist laut Abrechnung)</t>
  </si>
  <si>
    <t>Wareneinkauf Japan surugaya Z-160404</t>
  </si>
  <si>
    <t>Sendico-Gebühr Z-160404</t>
  </si>
  <si>
    <t>Wareneinkauf Japan mercari Z-162161</t>
  </si>
  <si>
    <t>Sendico-Gebühr Z-162161</t>
  </si>
  <si>
    <t>Fracht Sammelsendung S-2026-09-1 (Sendico)</t>
  </si>
  <si>
    <t>Zoll S-2026-09-1</t>
  </si>
  <si>
    <t>Einfuhrumsatzsteuer S-2026-09-1</t>
  </si>
  <si>
    <t>EUSt (Vorsteuer)</t>
  </si>
  <si>
    <t>Verzollungsgebühr Kurier S-2026-09-1</t>
  </si>
  <si>
    <t>Rechnung RE-2026-0001 Lena Hoffmann – Auflösung Anzahlung</t>
  </si>
  <si>
    <t>USt 19 % (bereits mit Anzahlung erfasst)</t>
  </si>
  <si>
    <t>Porto an Kunden T-2026-0001</t>
  </si>
  <si>
    <t>Rechnung RE-2026-0002 Jonas Becker – Auflösung Anzahlung</t>
  </si>
  <si>
    <t>Porto an Kunden T-2026-0002</t>
  </si>
  <si>
    <t>Rechnung RE-2026-0003 Mia Wagner – Auflösung Anzahlung</t>
  </si>
  <si>
    <t>Porto an Kunden T-2026-0003</t>
  </si>
  <si>
    <t>Wareneinkauf Japan mercari Z-165893</t>
  </si>
  <si>
    <t>Sendico-Gebühr Z-165893</t>
  </si>
  <si>
    <t>Wareneinkauf Japan mercari Z-161163</t>
  </si>
  <si>
    <t>Sendico-Gebühr Z-161163</t>
  </si>
  <si>
    <t>Zahlung paypal T-2026-0004 Tim Schulz</t>
  </si>
  <si>
    <t>Wareneinkauf Japan mercari Z-160845</t>
  </si>
  <si>
    <t>Sendico-Gebühr Z-160845</t>
  </si>
  <si>
    <t>Zahlung stripe T-2026-0005 Sara Klein</t>
  </si>
  <si>
    <t>PA_Nr</t>
  </si>
  <si>
    <t>PA_Datum</t>
  </si>
  <si>
    <t>PA_An</t>
  </si>
  <si>
    <t>PA_Betreff</t>
  </si>
  <si>
    <t>PA_Bestellung</t>
  </si>
  <si>
    <t>PA_Text</t>
  </si>
  <si>
    <t>Deine Bestellung ist eingegangen (T-2026-0001)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</si>
  <si>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12px"&gt;Deine Bestellung ist eingegangen&lt;/h2&gt;&lt;p&gt;Hallo Lena Hoffmann,&lt;/p&gt;&lt;p&gt;danke für deine Bestellung &lt;strong&gt;T-2026-0001&lt;/strong&gt;. Wir kaufen deine Artikel in den nächsten Stunden in Japan. Den Betrag von &lt;strong&gt;123,45 €&lt;/strong&gt; haben wir nur vorgemerkt – abgebucht wird erst, wenn unser Kauf geklappt hat.&lt;/p&gt;&lt;ul&gt;&lt;li&gt;Pikachu Promo (japanisch) – 82,07 €&lt;/li&gt;&lt;li&gt;Evoli Illustration Rare – 41,38 €&lt;/li&gt;&lt;/ul&gt;
&lt;p style="margin:22px 0"&gt;&lt;a href="http://localhost:3000/status.html?b=y4ertga730uyvix4"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</si>
  <si>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Deine Bestellung ist eingegangen (T-2026-0002)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</si>
  <si>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12px"&gt;Deine Bestellung ist eingegangen&lt;/h2&gt;&lt;p&gt;Hallo Jonas Becker,&lt;/p&gt;&lt;p&gt;danke für deine Bestellung &lt;strong&gt;T-2026-0002&lt;/strong&gt;. Wir kaufen deine Artikel in den nächsten Stunden in Japan. Den Betrag von &lt;strong&gt;211,39 €&lt;/strong&gt; haben wir nur vorgemerkt – abgebucht wird erst, wenn unser Kauf geklappt hat.&lt;/p&gt;&lt;ul&gt;&lt;li&gt;PSA 10 Gengar (japanisch) – 211,39 €&lt;/li&gt;&lt;/ul&gt;
&lt;p style="margin:22px 0"&gt;&lt;a href="http://localhost:3000/status.html?b=v3wzgijaoivp7mnb"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</si>
  <si>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Bitte überweise den Betrag (T-2026-0003)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</si>
  <si>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12px"&gt;Bitte überweise den Betrag&lt;/h2&gt;&lt;p&gt;Hallo Mia Wagner,&lt;/p&gt;&lt;p&gt;bitte überweise &lt;strong&gt;107,65 €&lt;/strong&gt; an:&lt;br&gt;Bastian Karlshaus&lt;br&gt;IBAN DE00 0000 0000 0000 0000 00&lt;br&gt;Verwendungszweck: &lt;strong&gt;T-2026-0003&lt;/strong&gt;&lt;/p&gt;&lt;p&gt;Sobald das Geld da ist, kaufen wir für dich ein. Ist ein Artikel bis dahin weg, erstatten wir den Betrag sofort.&lt;/p&gt;
&lt;p style="margin:22px 0"&gt;&lt;a href="http://localhost:3000/status.html?b=ncs9rl8kdnmubgr1"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</si>
  <si>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Deine Bestellung ist eingegangen (T-2026-0004)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</si>
  <si>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12px"&gt;Deine Bestellung ist eingegangen&lt;/h2&gt;&lt;p&gt;Hallo Tim Schulz,&lt;/p&gt;&lt;p&gt;danke für deine Bestellung &lt;strong&gt;T-2026-0004&lt;/strong&gt;. Wir kaufen deine Artikel in den nächsten Stunden in Japan. Den Betrag von &lt;strong&gt;191,39 €&lt;/strong&gt; haben wir nur vorgemerkt – abgebucht wird erst, wenn unser Kauf geklappt hat.&lt;/p&gt;&lt;ul&gt;&lt;li&gt;Glurak SAR (japanisch) – 128,22 €&lt;/li&gt;&lt;li&gt;Mew Promo (japanisch) – 34,26 €&lt;/li&gt;&lt;li&gt;Relaxo Art Rare – 28,91 €&lt;/li&gt;&lt;/ul&gt;
&lt;p style="margin:22px 0"&gt;&lt;a href="http://localhost:3000/status.html?b=e0n1di8agv9gy13z"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</si>
  <si>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Deine Bestellung ist eingegangen (T-2026-0005)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</si>
  <si>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12px"&gt;Deine Bestellung ist eingegangen&lt;/h2&gt;&lt;p&gt;Hallo Sara Klein,&lt;/p&gt;&lt;p&gt;danke für deine Bestellung &lt;strong&gt;T-2026-0005&lt;/strong&gt;. Wir kaufen deine Artikel in den nächsten Stunden in Japan. Den Betrag von &lt;strong&gt;67,93 €&lt;/strong&gt; haben wir nur vorgemerkt – abgebucht wird erst, wenn unser Kauf geklappt hat.&lt;/p&gt;&lt;ul&gt;&lt;li&gt;Nachtara Alt Art (japanisch) – 67,93 €&lt;/li&gt;&lt;/ul&gt;
&lt;p style="margin:22px 0"&gt;&lt;a href="http://localhost:3000/status.html?b=79dtwjhbzn3cvmk2"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</si>
  <si>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Deine Bestellung ist eingegangen (T-2026-0006)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</si>
  <si>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12px"&gt;Deine Bestellung ist eingegangen&lt;/h2&gt;&lt;p&gt;Hallo Paul Neumann,&lt;/p&gt;&lt;p&gt;danke für deine Bestellung &lt;strong&gt;T-2026-0006&lt;/strong&gt;. Wir kaufen deine Artikel in den nächsten Stunden in Japan. Den Betrag von &lt;strong&gt;119,40 €&lt;/strong&gt; haben wir nur vorgemerkt – abgebucht wird erst, wenn unser Kauf geklappt hat.&lt;/p&gt;&lt;ul&gt;&lt;li&gt;PSA 10 Bisasam (japanisch) – 99,27 €&lt;/li&gt;&lt;li&gt;Digimon Card Game Promo – 20,13 €&lt;/li&gt;&lt;/ul&gt;
&lt;p style="margin:22px 0"&gt;&lt;a href="http://localhost:3000/status.html?b=t5ezyohtuy035kzw"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</si>
  <si>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Gekauft! Deine Artikel liegen in Japan bereit (T-2026-0001)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</si>
  <si>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12px"&gt;Gekauft! Deine Artikel liegen in Japan bereit&lt;/h2&gt;&lt;p&gt;Hallo Lena Hoffmann,&lt;/p&gt;&lt;p&gt;wir haben für dich gekauft. Abgebucht wurden &lt;strong&gt;123,45 €&lt;/strong&gt;.&lt;/p&gt;&lt;ul&gt;&lt;li&gt;Pikachu Promo (japanisch) – 82,07 €&lt;/li&gt;&lt;li&gt;Evoli Illustration Rare – 41,38 €&lt;/li&gt;&lt;/ul&gt;&lt;p&gt;Deine Artikel kommen mit der nächsten Sammelsendung (Stichtag 20. September 2026).&lt;/p&gt;
&lt;p style="margin:22px 0"&gt;&lt;a href="http://localhost:3000/status.html?b=y4ertga730uyvix4"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</si>
  <si>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Gekauft! Deine Artikel liegen in Japan bereit (T-2026-0002)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</si>
  <si>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12px"&gt;Gekauft! Deine Artikel liegen in Japan bereit&lt;/h2&gt;&lt;p&gt;Hallo Jonas Becker,&lt;/p&gt;&lt;p&gt;wir haben für dich gekauft. Abgebucht wurden &lt;strong&gt;211,39 €&lt;/strong&gt;.&lt;/p&gt;&lt;ul&gt;&lt;li&gt;PSA 10 Gengar (japanisch) – 211,39 €&lt;/li&gt;&lt;/ul&gt;&lt;p&gt;Deine Artikel kommen mit der nächsten Sammelsendung (Stichtag 20. September 2026).&lt;/p&gt;
&lt;p style="margin:22px 0"&gt;&lt;a href="http://localhost:3000/status.html?b=v3wzgijaoivp7mnb"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</si>
  <si>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Gekauft! Deine Artikel liegen in Japan bereit (T-2026-0003)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</si>
  <si>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12px"&gt;Gekauft! Deine Artikel liegen in Japan bereit&lt;/h2&gt;&lt;p&gt;Hallo Mia Wagner,&lt;/p&gt;&lt;p&gt;wir haben für dich gekauft. Abgebucht wurden &lt;strong&gt;107,65 €&lt;/strong&gt;.&lt;/p&gt;&lt;ul&gt;&lt;li&gt;One Piece Card Game Booster Display – 76,92 €&lt;/li&gt;&lt;li&gt;Yu-Gi-Oh! OCG Booster (3 Packs) – 30,73 €&lt;/li&gt;&lt;/ul&gt;&lt;p&gt;Deine Artikel kommen mit der nächsten Sammelsendung (Stichtag 20. September 2026).&lt;/p&gt;
&lt;p style="margin:22px 0"&gt;&lt;a href="http://localhost:3000/status.html?b=ncs9rl8kdnmubgr1"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</si>
  <si>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Deine Sammelsendung ist unterwegs (T-2026-0001)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</si>
  <si>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12px"&gt;Deine Sammelsendung ist unterwegs&lt;/h2&gt;&lt;p&gt;Hallo Lena Hoffmann,&lt;/p&gt;&lt;p&gt;die Kiste mit deinen Artikeln hat Japan verlassen. In etwa einer Woche ist sie in Wuppertal, dann packen wir sofort für dich.&lt;/p&gt;
&lt;p style="margin:22px 0"&gt;&lt;a href="http://localhost:3000/status.html?b=y4ertga730uyvix4"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</si>
  <si>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Deine Sammelsendung ist unterwegs (T-2026-0002)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</si>
  <si>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12px"&gt;Deine Sammelsendung ist unterwegs&lt;/h2&gt;&lt;p&gt;Hallo Jonas Becker,&lt;/p&gt;&lt;p&gt;die Kiste mit deinen Artikeln hat Japan verlassen. In etwa einer Woche ist sie in Wuppertal, dann packen wir sofort für dich.&lt;/p&gt;
&lt;p style="margin:22px 0"&gt;&lt;a href="http://localhost:3000/status.html?b=v3wzgijaoivp7mnb"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</si>
  <si>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Deine Sammelsendung ist unterwegs (T-2026-0003)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</si>
  <si>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12px"&gt;Deine Sammelsendung ist unterwegs&lt;/h2&gt;&lt;p&gt;Hallo Mia Wagner,&lt;/p&gt;&lt;p&gt;die Kiste mit deinen Artikeln hat Japan verlassen. In etwa einer Woche ist sie in Wuppertal, dann packen wir sofort für dich.&lt;/p&gt;
&lt;p style="margin:22px 0"&gt;&lt;a href="http://localhost:3000/status.html?b=ncs9rl8kdnmubgr1"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</si>
  <si>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Dein Paket ist auf dem Weg (T-2026-0001)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</si>
  <si>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12px"&gt;Dein Paket ist auf dem Weg&lt;/h2&gt;&lt;p&gt;Hallo Lena Hoffmann,&lt;/p&gt;&lt;p&gt;wir haben deine Bestellung verschickt. Sendungsnummer: &lt;strong&gt;003404342460298630&lt;/strong&gt;.&lt;/p&gt;&lt;p&gt;Deine Rechnung findest du auf deiner Bestellseite.&lt;/p&gt;
&lt;p style="margin:22px 0"&gt;&lt;a href="http://localhost:3000/status.html?b=y4ertga730uyvix4"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</si>
  <si>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Dein Paket ist auf dem Weg (T-2026-0002)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</si>
  <si>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12px"&gt;Dein Paket ist auf dem Weg&lt;/h2&gt;&lt;p&gt;Hallo Jonas Becker,&lt;/p&gt;&lt;p&gt;wir haben deine Bestellung verschickt. Sendungsnummer: &lt;strong&gt;003404347721327561&lt;/strong&gt;.&lt;/p&gt;&lt;p&gt;Deine Rechnung findest du auf deiner Bestellseite.&lt;/p&gt;
&lt;p style="margin:22px 0"&gt;&lt;a href="http://localhost:3000/status.html?b=v3wzgijaoivp7mnb"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</si>
  <si>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Dein Paket ist auf dem Weg (T-2026-0003)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</si>
  <si>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12px"&gt;Dein Paket ist auf dem Weg&lt;/h2&gt;&lt;p&gt;Hallo Mia Wagner,&lt;/p&gt;&lt;p&gt;wir haben deine Bestellung verschickt. Sendungsnummer: &lt;strong&gt;003404342558005126&lt;/strong&gt;.&lt;/p&gt;&lt;p&gt;Deine Rechnung findest du auf deiner Bestellseite.&lt;/p&gt;
&lt;p style="margin:22px 0"&gt;&lt;a href="http://localhost:3000/status.html?b=ncs9rl8kdnmubgr1"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</si>
  <si>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Ein Artikel war leider schon weg (T-2026-0004)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</si>
  <si>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12px"&gt;Ein Artikel war leider schon weg&lt;/h2&gt;&lt;p&gt;Hallo Tim Schulz,&lt;/p&gt;&lt;p&gt;einer oder mehrere Artikel waren nicht mehr verfügbar. Wir haben nur die verfügbaren gekauft und &lt;strong&gt;164,79 €&lt;/strong&gt; statt 191,39 € abgebucht.&lt;/p&gt;&lt;ul&gt;&lt;li&gt;Glurak SAR (japanisch) – 130,11 €&lt;/li&gt;&lt;li&gt;Mew Promo (japanisch) – 34,68 €&lt;/li&gt;&lt;/ul&gt;
&lt;p style="margin:22px 0"&gt;&lt;a href="http://localhost:3000/status.html?b=e0n1di8agv9gy13z"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</si>
  <si>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Gekauft! Deine Artikel liegen in Japan bereit (T-2026-0005)</t>
  </si>
  <si>
    <t xml:space="preserve">&lt;div style="font-family:Arial,sans-serif;max-width:560px;color:#17171A;line-height:1.55"&gt;
&lt;p style="font-weight:900;font-size:18px;margin:0 0 18px"&gt;&lt;span style="border:2px solid #B4341C;color:#B4341C;border-radius:5px;padding:0 5px;margin-right:6px"&gt;積&lt;/span&gt;Tsumiki&lt;/p&gt;
&lt;h2 style="font-size:20px;margin:0 0 12px"&gt;Gekauft! Deine Artikel liegen in Japan bereit&lt;/h2&gt;&lt;p&gt;Hallo Sara Klein,&lt;/p&gt;&lt;p&gt;wir haben für dich gekauft. Abgebucht wurden &lt;strong&gt;67,93 €&lt;/strong&gt;.&lt;/p&gt;&lt;ul&gt;&lt;li&gt;Nachtara Alt Art (japanisch) – 67,93 €&lt;/li&gt;&lt;/ul&gt;&lt;p&gt;Deine Artikel kommen mit der nächsten Sammelsendung (Stichtag 20. Oktober 2026).&lt;/p&gt;
&lt;p style="margin:22px 0"&gt;&lt;a href="http://localhost:3000/status.html?b=79dtwjhbzn3cvmk2" style="background:#B4341C;color:#fff;text-decoration:none;padding:12px 18px;border-radius:8px;font-weight:bold"&gt;Bestellung ansehen&lt;/a&gt;&lt;/p&gt;
&lt;p style="color:#5C5C63;font-size:13px;margin-top:28px"&gt;Tsumiki · Bastian Karlshaus · [PLZ] Wuppertal&lt;/p&gt;&lt;/div&gt;</t>
  </si>
  <si>
    <t>LOG_Datum</t>
  </si>
  <si>
    <t>LOG_Aktion</t>
  </si>
  <si>
    <t>LOG_Bezug</t>
  </si>
  <si>
    <t>LOG_Details</t>
  </si>
  <si>
    <t>Bestellung angelegt</t>
  </si>
  <si>
    <t>{"gross":123.45,"items":2,"pay":"paypal"}</t>
  </si>
  <si>
    <t>Zahlung reserviert</t>
  </si>
  <si>
    <t>{"ref":"DEMO-T-2026-0001","amount":123.45}</t>
  </si>
  <si>
    <t>{"gross":211.39,"items":1,"pay":"stripe"}</t>
  </si>
  <si>
    <t>{"ref":"DEMO-T-2026-0002","amount":211.39}</t>
  </si>
  <si>
    <t>{"gross":107.65,"items":2,"pay":"ueberweisung"}</t>
  </si>
  <si>
    <t>Überweisung eingegangen</t>
  </si>
  <si>
    <t>107.65</t>
  </si>
  <si>
    <t>{"gross":191.39,"items":3,"pay":"paypal"}</t>
  </si>
  <si>
    <t>{"ref":"DEMO-T-2026-0004","amount":191.39}</t>
  </si>
  <si>
    <t>{"gross":67.93,"items":1,"pay":"stripe"}</t>
  </si>
  <si>
    <t>{"ref":"DEMO-T-2026-0005","amount":67.93}</t>
  </si>
  <si>
    <t>{"gross":119.4,"items":2,"pay":"paypal"}</t>
  </si>
  <si>
    <t>{"ref":"DEMO-T-2026-0006","amount":119.4}</t>
  </si>
  <si>
    <t>Gekauft</t>
  </si>
  <si>
    <t>{"sendicoNo":"Z-165243","jpy":9250}</t>
  </si>
  <si>
    <t>{"sendicoNo":"Z-162253","jpy":4200}</t>
  </si>
  <si>
    <t>{"sendicoNo":"Z-160889","jpy":26800}</t>
  </si>
  <si>
    <t>{"sendicoNo":"Z-160404","jpy":6900}</t>
  </si>
  <si>
    <t>{"sendicoNo":"Z-162161","jpy":2400}</t>
  </si>
  <si>
    <t>Sammelsendung gebildet</t>
  </si>
  <si>
    <t>{"positions":5,"orders":3}</t>
  </si>
  <si>
    <t>Sammelsendung versendet</t>
  </si>
  <si>
    <t>{"trackingNo":"7712 3456 0001","freightJPY":4900}</t>
  </si>
  <si>
    <t>Sammelsendung angekommen</t>
  </si>
  <si>
    <t>{"ist":45.59,"kalk":22.18}</t>
  </si>
  <si>
    <t>An Kunden versendet</t>
  </si>
  <si>
    <t>{"invoice":"RE-2026-0001"}</t>
  </si>
  <si>
    <t>{"invoice":"RE-2026-0002"}</t>
  </si>
  <si>
    <t>{"invoice":"RE-2026-0003"}</t>
  </si>
  <si>
    <t>{"sendicoNo":"Z-165893","jpy":15800}</t>
  </si>
  <si>
    <t>{"sendicoNo":"Z-161163","jpy":3500}</t>
  </si>
  <si>
    <t>Nicht verfügbar</t>
  </si>
  <si>
    <t>{"sendicoNo":"Z-160845","jpy":7400}</t>
  </si>
  <si>
    <t>Auswertung</t>
  </si>
  <si>
    <t>Bestellungen gesamt</t>
  </si>
  <si>
    <t>… warten auf Kauf (Status "neu")</t>
  </si>
  <si>
    <t>… warten auf Überweisung</t>
  </si>
  <si>
    <t>… im Lager Japan (gekauft)</t>
  </si>
  <si>
    <t>… unterwegs</t>
  </si>
  <si>
    <t>… angekommen, zu versenden</t>
  </si>
  <si>
    <t>… versendet</t>
  </si>
  <si>
    <t>Abgebuchter Umsatz brutto</t>
  </si>
  <si>
    <t>Servicegebühren (netto, kalkuliert)</t>
  </si>
  <si>
    <t>Logistik kalkuliert (alle Sendungen)</t>
  </si>
  <si>
    <t>Logistik tatsächlich</t>
  </si>
  <si>
    <t>Abweichung (positiv = günstiger als kalkuliert)</t>
  </si>
  <si>
    <t>Rechnungen ausgestellt</t>
  </si>
  <si>
    <t>Gutschriften</t>
  </si>
  <si>
    <t>Umsatzsteuer, Ergebnis je Auftrag und Nachkalkulation: in der Verwaltung unter „Buchhaltung“.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</si>
</sst>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.00 €"/>
  </numFmts>
  <fonts count="11" x14ac:knownFonts="1">
    <font>
      <color theme="1"/>
      <family val="2"/>
      <scheme val="minor"/>
      <sz val="11"/>
      <name val="Calibri"/>
    </font>
    <font>
      <b/>
      <sz val="20"/>
      <name val="Arial"/>
    </font>
    <font>
      <sz val="11"/>
      <name val="Arial"/>
    </font>
    <font>
      <color rgb="FFB4341C"/>
      <sz val="11"/>
      <name val="Arial"/>
    </font>
    <font>
      <b/>
      <sz val="13"/>
      <name val="Arial"/>
    </font>
    <font>
      <b/>
      <color rgb="FFFFFFFF"/>
    </font>
    <font>
      <b/>
      <sz val="14"/>
    </font>
    <font>
      <color rgb="FF5C5C63"/>
    </font>
    <font>
      <b/>
    </font>
    <font>
      <b/>
      <color rgb="FFB4341C"/>
      <sz val="13"/>
    </font>
    <font>
      <i/>
      <color rgb="FF5C5C63"/>
    </font>
  </fonts>
  <fills count="5">
    <fill>
      <patternFill patternType="none"/>
    </fill>
    <fill>
      <patternFill patternType="gray125"/>
    </fill>
    <fill>
      <patternFill patternType="solid">
        <fgColor rgb="FF17171A"/>
      </patternFill>
    </fill>
    <fill>
      <patternFill patternType="solid">
        <fgColor rgb="FFF4F2EE"/>
      </patternFill>
    </fill>
    <fill>
      <patternFill patternType="solid">
        <fgColor rgb="FF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4" borderId="0" xfId="0" applyFill="1"/>
    <xf numFmtId="2" fontId="0" fillId="0" borderId="0" xfId="0" applyNumberFormat="1"/>
    <xf numFmtId="165" fontId="0" fillId="0" borderId="0" xfId="0" applyNumberFormat="1"/>
    <xf numFmtId="0" fontId="9" fillId="0" borderId="0" xfId="0" applyFont="1"/>
    <xf numFmtId="165" fontId="9" fillId="0" borderId="0" xfId="0" applyNumberFormat="1" applyFont="1"/>
    <xf numFmtId="165" fontId="8" fillId="0" borderId="0" xfId="0" applyNumberFormat="1" applyFont="1"/>
    <xf numFmtId="164" fontId="0" fillId="0" borderId="0" xfId="0" applyNumberFormat="1"/>
    <xf numFmtId="165" fontId="5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4" fontId="0" fillId="0" borderId="0" xfId="0" applyNumberFormat="1"/>
    <xf numFmtId="1" fontId="0" fillId="0" borderId="0" xfId="0" applyNumberForma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341C"/>
  </sheetPr>
  <dimension ref="B2:B15"/>
  <sheetFormatPr defaultRowHeight="15" outlineLevelRow="0" outlineLevelCol="0" x14ac:dyDescent="55"/>
  <cols>
    <col min="1" max="1" width="4" customWidth="1"/>
    <col min="2" max="2" width="11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5" spans="2:2" x14ac:dyDescent="0.25">
      <c r="B5" s="2" t="s">
        <v>3</v>
      </c>
    </row>
    <row r="6" spans="2:2" x14ac:dyDescent="0.25">
      <c r="B6" s="4" t="s">
        <v>4</v>
      </c>
    </row>
    <row r="7" spans="2:2" x14ac:dyDescent="0.25">
      <c r="B7" s="2" t="s">
        <v>5</v>
      </c>
    </row>
    <row r="8" spans="2:2" x14ac:dyDescent="0.25">
      <c r="B8" s="2" t="s">
        <v>6</v>
      </c>
    </row>
    <row r="9" spans="2:2" x14ac:dyDescent="0.25">
      <c r="B9" s="2" t="s">
        <v>7</v>
      </c>
    </row>
    <row r="10" spans="2:2" x14ac:dyDescent="0.25">
      <c r="B10" s="2" t="s">
        <v>8</v>
      </c>
    </row>
    <row r="11" spans="2:2" x14ac:dyDescent="0.25">
      <c r="B11" s="2" t="s">
        <v>9</v>
      </c>
    </row>
    <row r="12" spans="2:2" x14ac:dyDescent="0.25">
      <c r="B12" s="2" t="s">
        <v>10</v>
      </c>
    </row>
    <row r="13" spans="2:2" x14ac:dyDescent="0.25">
      <c r="B13" s="2" t="s">
        <v>11</v>
      </c>
    </row>
    <row r="14" spans="2:2" x14ac:dyDescent="0.25">
      <c r="B14" s="2" t="s">
        <v>12</v>
      </c>
    </row>
    <row r="15" spans="2:2" x14ac:dyDescent="0.25">
      <c r="B15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171A"/>
  </sheetPr>
  <dimension ref="A1:D4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6" customWidth="1"/>
    <col min="3" max="3" width="10" customWidth="1"/>
    <col min="4" max="4" width="80" customWidth="1"/>
  </cols>
  <sheetData>
    <row r="1" ht="22" customHeight="1" spans="1:4" s="5" customFormat="1" x14ac:dyDescent="0.25">
      <c r="A1" s="5" t="s">
        <v>14</v>
      </c>
      <c r="B1" s="5" t="s">
        <v>15</v>
      </c>
      <c r="C1" s="5" t="s">
        <v>16</v>
      </c>
      <c r="D1" s="5" t="s">
        <v>17</v>
      </c>
    </row>
    <row r="2" spans="1:4" x14ac:dyDescent="0.25">
      <c r="A2" t="s">
        <v>18</v>
      </c>
      <c r="B2" s="6" t="s">
        <v>19</v>
      </c>
      <c r="C2" t="s">
        <v>3</v>
      </c>
      <c r="D2" t="s">
        <v>20</v>
      </c>
    </row>
    <row r="3" spans="1:4" x14ac:dyDescent="0.25">
      <c r="A3" t="s">
        <v>21</v>
      </c>
      <c r="B3" s="6" t="s">
        <v>22</v>
      </c>
      <c r="C3" t="s">
        <v>3</v>
      </c>
      <c r="D3" t="s">
        <v>23</v>
      </c>
    </row>
    <row r="4" spans="1:4" x14ac:dyDescent="0.25">
      <c r="A4" t="s">
        <v>24</v>
      </c>
      <c r="B4" s="6" t="s">
        <v>25</v>
      </c>
      <c r="C4" t="s">
        <v>3</v>
      </c>
      <c r="D4" t="s">
        <v>26</v>
      </c>
    </row>
    <row r="5" spans="1:4" x14ac:dyDescent="0.25">
      <c r="A5" t="s">
        <v>27</v>
      </c>
      <c r="B5" s="6" t="s">
        <v>28</v>
      </c>
      <c r="C5" t="s">
        <v>3</v>
      </c>
      <c r="D5" t="s">
        <v>3</v>
      </c>
    </row>
    <row r="6" spans="1:4" x14ac:dyDescent="0.25">
      <c r="A6" t="s">
        <v>29</v>
      </c>
      <c r="B6" s="6" t="s">
        <v>30</v>
      </c>
      <c r="C6" t="s">
        <v>3</v>
      </c>
      <c r="D6" t="s">
        <v>31</v>
      </c>
    </row>
    <row r="7" spans="1:4" x14ac:dyDescent="0.25">
      <c r="A7" t="s">
        <v>32</v>
      </c>
      <c r="B7" s="6" t="s">
        <v>33</v>
      </c>
      <c r="C7" t="s">
        <v>3</v>
      </c>
      <c r="D7" t="s">
        <v>34</v>
      </c>
    </row>
    <row r="8" spans="1:4" x14ac:dyDescent="0.25">
      <c r="A8" t="s">
        <v>35</v>
      </c>
      <c r="B8" s="6" t="s">
        <v>36</v>
      </c>
      <c r="C8" t="s">
        <v>3</v>
      </c>
      <c r="D8" t="s">
        <v>37</v>
      </c>
    </row>
    <row r="9" spans="1:4" x14ac:dyDescent="0.25">
      <c r="A9" t="s">
        <v>38</v>
      </c>
      <c r="B9" s="6">
        <v>185</v>
      </c>
      <c r="C9" t="s">
        <v>39</v>
      </c>
      <c r="D9" t="s">
        <v>40</v>
      </c>
    </row>
    <row r="10" spans="1:4" x14ac:dyDescent="0.25">
      <c r="A10" t="s">
        <v>41</v>
      </c>
      <c r="B10" s="7">
        <v>0.02</v>
      </c>
      <c r="C10" t="s">
        <v>42</v>
      </c>
      <c r="D10" t="s">
        <v>43</v>
      </c>
    </row>
    <row r="11" spans="1:4" x14ac:dyDescent="0.25">
      <c r="A11" t="s">
        <v>44</v>
      </c>
      <c r="B11" s="6">
        <v>500</v>
      </c>
      <c r="C11" t="s">
        <v>45</v>
      </c>
      <c r="D11" t="s">
        <v>46</v>
      </c>
    </row>
    <row r="12" spans="1:4" x14ac:dyDescent="0.25">
      <c r="A12" t="s">
        <v>47</v>
      </c>
      <c r="B12" s="6">
        <v>300</v>
      </c>
      <c r="C12" t="s">
        <v>45</v>
      </c>
      <c r="D12" t="s">
        <v>48</v>
      </c>
    </row>
    <row r="13" spans="1:4" x14ac:dyDescent="0.25">
      <c r="A13" t="s">
        <v>49</v>
      </c>
      <c r="B13" s="6">
        <v>750</v>
      </c>
      <c r="C13" t="s">
        <v>45</v>
      </c>
      <c r="D13" t="s">
        <v>50</v>
      </c>
    </row>
    <row r="14" spans="1:4" x14ac:dyDescent="0.25">
      <c r="A14" t="s">
        <v>51</v>
      </c>
      <c r="B14" s="6">
        <v>10</v>
      </c>
      <c r="C14" t="s">
        <v>52</v>
      </c>
      <c r="D14" t="s">
        <v>53</v>
      </c>
    </row>
    <row r="15" spans="1:4" x14ac:dyDescent="0.25">
      <c r="A15" t="s">
        <v>54</v>
      </c>
      <c r="B15" s="8">
        <v>45</v>
      </c>
      <c r="C15" t="s">
        <v>55</v>
      </c>
      <c r="D15" t="s">
        <v>56</v>
      </c>
    </row>
    <row r="16" spans="1:4" x14ac:dyDescent="0.25">
      <c r="A16" t="s">
        <v>57</v>
      </c>
      <c r="B16" s="6">
        <v>30</v>
      </c>
      <c r="C16" t="s">
        <v>58</v>
      </c>
      <c r="D16" t="s">
        <v>59</v>
      </c>
    </row>
    <row r="17" spans="1:4" x14ac:dyDescent="0.25">
      <c r="A17" t="s">
        <v>60</v>
      </c>
      <c r="B17" s="7">
        <v>0.027</v>
      </c>
      <c r="C17" t="s">
        <v>42</v>
      </c>
      <c r="D17" t="s">
        <v>61</v>
      </c>
    </row>
    <row r="18" spans="1:4" x14ac:dyDescent="0.25">
      <c r="A18" t="s">
        <v>62</v>
      </c>
      <c r="B18" s="6">
        <v>10</v>
      </c>
      <c r="C18" t="s">
        <v>63</v>
      </c>
      <c r="D18" t="s">
        <v>64</v>
      </c>
    </row>
    <row r="19" spans="1:4" x14ac:dyDescent="0.25">
      <c r="A19" t="s">
        <v>65</v>
      </c>
      <c r="B19" s="6">
        <v>20</v>
      </c>
      <c r="C19" t="s">
        <v>66</v>
      </c>
      <c r="D19" t="s">
        <v>67</v>
      </c>
    </row>
    <row r="20" spans="1:4" x14ac:dyDescent="0.25">
      <c r="A20" t="s">
        <v>68</v>
      </c>
      <c r="B20" s="6">
        <v>10</v>
      </c>
      <c r="C20" t="s">
        <v>69</v>
      </c>
      <c r="D20" t="s">
        <v>70</v>
      </c>
    </row>
    <row r="21" spans="1:4" x14ac:dyDescent="0.25">
      <c r="A21" t="s">
        <v>71</v>
      </c>
      <c r="B21" s="6">
        <v>16</v>
      </c>
      <c r="C21" t="s">
        <v>69</v>
      </c>
      <c r="D21" t="s">
        <v>72</v>
      </c>
    </row>
    <row r="22" spans="1:4" x14ac:dyDescent="0.25">
      <c r="A22" t="s">
        <v>73</v>
      </c>
      <c r="B22" s="6">
        <v>0.04</v>
      </c>
      <c r="C22" t="s">
        <v>74</v>
      </c>
      <c r="D22" t="s">
        <v>3</v>
      </c>
    </row>
    <row r="23" spans="1:4" x14ac:dyDescent="0.25">
      <c r="A23" t="s">
        <v>75</v>
      </c>
      <c r="B23" s="6">
        <v>0.13</v>
      </c>
      <c r="C23" t="s">
        <v>74</v>
      </c>
      <c r="D23" t="s">
        <v>76</v>
      </c>
    </row>
    <row r="24" spans="1:4" x14ac:dyDescent="0.25">
      <c r="A24" t="s">
        <v>77</v>
      </c>
      <c r="B24" s="6">
        <v>0.05</v>
      </c>
      <c r="C24" t="s">
        <v>74</v>
      </c>
      <c r="D24" t="s">
        <v>78</v>
      </c>
    </row>
    <row r="25" spans="1:4" x14ac:dyDescent="0.25">
      <c r="A25" t="s">
        <v>79</v>
      </c>
      <c r="B25" s="6">
        <v>0.45</v>
      </c>
      <c r="C25" t="s">
        <v>74</v>
      </c>
      <c r="D25" t="s">
        <v>80</v>
      </c>
    </row>
    <row r="26" spans="1:4" x14ac:dyDescent="0.25">
      <c r="A26" t="s">
        <v>81</v>
      </c>
      <c r="B26" s="6">
        <v>0.25</v>
      </c>
      <c r="C26" t="s">
        <v>74</v>
      </c>
      <c r="D26" t="s">
        <v>82</v>
      </c>
    </row>
    <row r="27" spans="1:4" x14ac:dyDescent="0.25">
      <c r="A27" t="s">
        <v>83</v>
      </c>
      <c r="B27" s="8">
        <v>5</v>
      </c>
      <c r="C27" t="s">
        <v>55</v>
      </c>
      <c r="D27" t="s">
        <v>84</v>
      </c>
    </row>
    <row r="28" spans="1:4" x14ac:dyDescent="0.25">
      <c r="A28" t="s">
        <v>85</v>
      </c>
      <c r="B28" s="7">
        <v>0.05</v>
      </c>
      <c r="C28" t="s">
        <v>42</v>
      </c>
      <c r="D28" t="s">
        <v>86</v>
      </c>
    </row>
    <row r="29" spans="1:4" x14ac:dyDescent="0.25">
      <c r="A29" t="s">
        <v>87</v>
      </c>
      <c r="B29" s="7">
        <v>0.045</v>
      </c>
      <c r="C29" t="s">
        <v>42</v>
      </c>
      <c r="D29" t="s">
        <v>88</v>
      </c>
    </row>
    <row r="30" spans="1:4" x14ac:dyDescent="0.25">
      <c r="A30" t="s">
        <v>89</v>
      </c>
      <c r="B30" s="7">
        <v>0.04</v>
      </c>
      <c r="C30" t="s">
        <v>42</v>
      </c>
      <c r="D30" t="s">
        <v>90</v>
      </c>
    </row>
    <row r="31" spans="1:4" x14ac:dyDescent="0.25">
      <c r="A31" t="s">
        <v>91</v>
      </c>
      <c r="B31" s="8">
        <v>40</v>
      </c>
      <c r="C31" t="s">
        <v>55</v>
      </c>
      <c r="D31" t="s">
        <v>92</v>
      </c>
    </row>
    <row r="32" spans="1:4" x14ac:dyDescent="0.25">
      <c r="A32" t="s">
        <v>93</v>
      </c>
      <c r="B32" s="8">
        <v>5</v>
      </c>
      <c r="C32" t="s">
        <v>55</v>
      </c>
      <c r="D32" t="s">
        <v>94</v>
      </c>
    </row>
    <row r="33" spans="1:4" x14ac:dyDescent="0.25">
      <c r="A33" t="s">
        <v>95</v>
      </c>
      <c r="B33" s="8">
        <v>300</v>
      </c>
      <c r="C33" t="s">
        <v>55</v>
      </c>
      <c r="D33" t="s">
        <v>96</v>
      </c>
    </row>
    <row r="34" spans="1:4" x14ac:dyDescent="0.25">
      <c r="A34" t="s">
        <v>97</v>
      </c>
      <c r="B34" s="8">
        <v>50</v>
      </c>
      <c r="C34" t="s">
        <v>55</v>
      </c>
      <c r="D34" t="s">
        <v>98</v>
      </c>
    </row>
    <row r="35" spans="1:4" x14ac:dyDescent="0.25">
      <c r="A35" t="s">
        <v>99</v>
      </c>
      <c r="B35" s="8">
        <v>1.8</v>
      </c>
      <c r="C35" t="s">
        <v>55</v>
      </c>
      <c r="D35" t="s">
        <v>100</v>
      </c>
    </row>
    <row r="36" spans="1:4" x14ac:dyDescent="0.25">
      <c r="A36" t="s">
        <v>101</v>
      </c>
      <c r="B36" s="8">
        <v>6.19</v>
      </c>
      <c r="C36" t="s">
        <v>55</v>
      </c>
      <c r="D36" t="s">
        <v>102</v>
      </c>
    </row>
    <row r="37" spans="1:4" x14ac:dyDescent="0.25">
      <c r="A37" t="s">
        <v>103</v>
      </c>
      <c r="B37" s="8">
        <v>6.5</v>
      </c>
      <c r="C37" t="s">
        <v>55</v>
      </c>
      <c r="D37" t="s">
        <v>104</v>
      </c>
    </row>
    <row r="38" spans="1:4" x14ac:dyDescent="0.25">
      <c r="A38" t="s">
        <v>105</v>
      </c>
      <c r="B38" s="8">
        <v>14.9</v>
      </c>
      <c r="C38" t="s">
        <v>55</v>
      </c>
      <c r="D38" t="s">
        <v>106</v>
      </c>
    </row>
    <row r="39" spans="1:4" x14ac:dyDescent="0.25">
      <c r="A39" t="s">
        <v>107</v>
      </c>
      <c r="B39" s="7">
        <v>0.19</v>
      </c>
      <c r="C39" t="s">
        <v>42</v>
      </c>
      <c r="D39" t="s">
        <v>108</v>
      </c>
    </row>
    <row r="40" spans="1:4" x14ac:dyDescent="0.25">
      <c r="A40" t="s">
        <v>109</v>
      </c>
      <c r="B40" s="6">
        <v>0</v>
      </c>
      <c r="C40" t="s">
        <v>110</v>
      </c>
      <c r="D40" t="s">
        <v>111</v>
      </c>
    </row>
    <row r="41" spans="1:4" x14ac:dyDescent="0.25">
      <c r="A41" t="s">
        <v>112</v>
      </c>
      <c r="B41" s="8">
        <v>22</v>
      </c>
      <c r="C41" t="s">
        <v>55</v>
      </c>
      <c r="D41" t="s">
        <v>113</v>
      </c>
    </row>
    <row r="42" spans="1:4" x14ac:dyDescent="0.25">
      <c r="A42" t="s">
        <v>114</v>
      </c>
      <c r="B42" s="6">
        <v>9</v>
      </c>
      <c r="C42" t="s">
        <v>52</v>
      </c>
      <c r="D42" t="s">
        <v>3</v>
      </c>
    </row>
    <row r="43" spans="1:4" x14ac:dyDescent="0.25">
      <c r="A43" t="s">
        <v>115</v>
      </c>
      <c r="B43" s="8">
        <v>3</v>
      </c>
      <c r="C43" t="s">
        <v>55</v>
      </c>
      <c r="D43" t="s">
        <v>116</v>
      </c>
    </row>
    <row r="44" spans="1:4" x14ac:dyDescent="0.25">
      <c r="A44" t="s">
        <v>117</v>
      </c>
      <c r="B44" s="8">
        <v>15</v>
      </c>
      <c r="C44" t="s">
        <v>55</v>
      </c>
      <c r="D44" t="s">
        <v>118</v>
      </c>
    </row>
    <row r="45" spans="1:4" x14ac:dyDescent="0.25">
      <c r="A45" t="s">
        <v>119</v>
      </c>
      <c r="B45" s="7">
        <v>0.0249</v>
      </c>
      <c r="C45" t="s">
        <v>42</v>
      </c>
      <c r="D45" t="s">
        <v>120</v>
      </c>
    </row>
    <row r="46" spans="1:4" x14ac:dyDescent="0.25">
      <c r="A46" t="s">
        <v>121</v>
      </c>
      <c r="B46" s="8">
        <v>0.35</v>
      </c>
      <c r="C46" t="s">
        <v>55</v>
      </c>
      <c r="D46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341C"/>
  </sheetPr>
  <dimension ref="A1:F26"/>
  <sheetFormatPr defaultRowHeight="15" outlineLevelRow="0" outlineLevelCol="0" x14ac:dyDescent="55"/>
  <cols>
    <col min="1" max="1" width="44" customWidth="1"/>
    <col min="2" max="2" width="18" customWidth="1"/>
    <col min="3" max="4" width="4" customWidth="1"/>
    <col min="5" max="5" width="34" customWidth="1"/>
    <col min="6" max="6" width="12" customWidth="1"/>
  </cols>
  <sheetData>
    <row r="1" spans="1:1" x14ac:dyDescent="0.25">
      <c r="A1" s="9" t="s">
        <v>123</v>
      </c>
    </row>
    <row r="2" spans="1:1" x14ac:dyDescent="0.25">
      <c r="A2" s="10" t="s">
        <v>124</v>
      </c>
    </row>
    <row r="3" spans="5:5" x14ac:dyDescent="0.25">
      <c r="E3" s="11" t="s">
        <v>125</v>
      </c>
    </row>
    <row r="4" spans="1:6" x14ac:dyDescent="0.25">
      <c r="A4" t="s">
        <v>126</v>
      </c>
      <c r="B4" s="12">
        <v>9250</v>
      </c>
      <c r="E4" t="s">
        <v>127</v>
      </c>
      <c r="F4">
        <f>VLOOKUP("gewicht_einzelkarte_kg",Parameter!$A:$B,2,FALSE)</f>
      </c>
    </row>
    <row r="5" spans="1:6" x14ac:dyDescent="0.25">
      <c r="A5" t="s">
        <v>128</v>
      </c>
      <c r="B5" s="12" t="s">
        <v>127</v>
      </c>
      <c r="E5" t="s">
        <v>129</v>
      </c>
      <c r="F5">
        <f>VLOOKUP("gewicht_slab_kg",Parameter!$A:$B,2,FALSE)</f>
      </c>
    </row>
    <row r="6" spans="1:6" x14ac:dyDescent="0.25">
      <c r="A6" t="s">
        <v>130</v>
      </c>
      <c r="B6" s="12" t="s">
        <v>131</v>
      </c>
      <c r="E6" t="s">
        <v>132</v>
      </c>
      <c r="F6">
        <f>VLOOKUP("gewicht_booster_kg",Parameter!$A:$B,2,FALSE)</f>
      </c>
    </row>
    <row r="7" spans="1:6" x14ac:dyDescent="0.25">
      <c r="A7" t="s">
        <v>133</v>
      </c>
      <c r="B7" s="12" t="s">
        <v>131</v>
      </c>
      <c r="E7" t="s">
        <v>134</v>
      </c>
      <c r="F7">
        <f>VLOOKUP("gewicht_display_kg",Parameter!$A:$B,2,FALSE)</f>
      </c>
    </row>
    <row r="8" spans="1:6" x14ac:dyDescent="0.25">
      <c r="A8" t="s">
        <v>135</v>
      </c>
      <c r="B8" s="12">
        <v>1</v>
      </c>
      <c r="E8" t="s">
        <v>82</v>
      </c>
      <c r="F8">
        <f>VLOOKUP("gewicht_sonstiges_kg",Parameter!$A:$B,2,FALSE)</f>
      </c>
    </row>
    <row r="9" spans="1:2" x14ac:dyDescent="0.25">
      <c r="A9" t="s">
        <v>136</v>
      </c>
      <c r="B9" s="12">
        <f>VLOOKUP("kurs_jpy_je_eur_fallback",Parameter!$A:$B,2,FALSE)</f>
      </c>
    </row>
    <row r="11" spans="1:2" x14ac:dyDescent="0.25">
      <c r="A11" t="s">
        <v>137</v>
      </c>
      <c r="B11" s="13">
        <f>B9*(1-VLOOKUP("kurs_puffer",Parameter!$A:$B,2,FALSE))</f>
      </c>
    </row>
    <row r="12" spans="1:2" x14ac:dyDescent="0.25">
      <c r="A12" t="s">
        <v>138</v>
      </c>
      <c r="B12" s="14">
        <f>ROUND(B4/B11,2)</f>
      </c>
    </row>
    <row r="13" spans="1:2" x14ac:dyDescent="0.25">
      <c r="A13" t="s">
        <v>139</v>
      </c>
      <c r="B13" s="14">
        <f>IF(B6="nein",ROUND(VLOOKUP("inlandsversand_japan_schaetzung_jpy",Parameter!$A:$B,2,FALSE)/B11,2),0)</f>
      </c>
    </row>
    <row r="14" spans="1:2" x14ac:dyDescent="0.25">
      <c r="A14" t="s">
        <v>140</v>
      </c>
      <c r="B14" s="14">
        <f>ROUND((VLOOKUP("sendico_gebuehr_jpy",Parameter!$A:$B,2,FALSE)+IF(B7="ja",VLOOKUP("sendico_aufschlag_marktplatz_jpy",Parameter!$A:$B,2,FALSE),0))/B11,2)</f>
      </c>
    </row>
    <row r="15" spans="1:2" x14ac:dyDescent="0.25">
      <c r="A15" t="s">
        <v>141</v>
      </c>
      <c r="B15" s="13">
        <f>VLOOKUP(B5,$E$4:$F$8,2,FALSE)</f>
      </c>
    </row>
    <row r="16" spans="1:2" x14ac:dyDescent="0.25">
      <c r="A16" t="s">
        <v>142</v>
      </c>
      <c r="B16" s="14">
        <f>ROUND(B15*VLOOKUP("fracht_eur_je_kg",Parameter!$A:$B,2,FALSE),2)+ROUND(VLOOKUP("sendung_fixkosten_eur",Parameter!$A:$B,2,FALSE)/VLOOKUP("sendung_erwartete_positionen",Parameter!$A:$B,2,FALSE),2)</f>
      </c>
    </row>
    <row r="17" spans="1:2" x14ac:dyDescent="0.25">
      <c r="A17" t="s">
        <v>143</v>
      </c>
      <c r="B17" s="14">
        <f>ROUND((B12+B13+ROUND(B15*VLOOKUP("fracht_eur_je_kg",Parameter!$A:$B,2,FALSE),2))*VLOOKUP("zoll_satz_karten",Parameter!$A:$B,2,FALSE),2)</f>
      </c>
    </row>
    <row r="18" spans="1:2" x14ac:dyDescent="0.25">
      <c r="A18" t="s">
        <v>144</v>
      </c>
      <c r="B18" s="14">
        <f>ROUND(MIN(VLOOKUP("gebuehr_grund_eur",Parameter!$A:$B,2,FALSE)+B12*IF(B8&gt;=6,VLOOKUP("gebuehr_prozent_ab6",Parameter!$A:$B,2,FALSE),IF(B8&gt;=3,VLOOKUP("gebuehr_prozent_ab3",Parameter!$A:$B,2,FALSE),VLOOKUP("gebuehr_prozent",Parameter!$A:$B,2,FALSE))),VLOOKUP("gebuehr_max_eur",Parameter!$A:$B,2,FALSE)),2)</f>
      </c>
    </row>
    <row r="19" spans="1:2" x14ac:dyDescent="0.25">
      <c r="A19" t="s">
        <v>145</v>
      </c>
      <c r="B19" s="14">
        <f>IF(B12&lt;=VLOOKUP("versand_de_grenze_eur",Parameter!$A:$B,2,FALSE),VLOOKUP("versand_de_klein_eur",Parameter!$A:$B,2,FALSE),VLOOKUP("versand_de_paket_eur",Parameter!$A:$B,2,FALSE))</f>
      </c>
    </row>
    <row r="20" spans="1:2" x14ac:dyDescent="0.25">
      <c r="A20" t="s">
        <v>146</v>
      </c>
      <c r="B20" s="14">
        <f>SUM(B12:B14)+SUM(B16:B19)</f>
      </c>
    </row>
    <row r="21" spans="1:2" x14ac:dyDescent="0.25">
      <c r="A21" t="s">
        <v>147</v>
      </c>
      <c r="B21" s="14">
        <f>ROUND(B20*VLOOKUP("ust_satz_de",Parameter!$A:$B,2,FALSE),2)</f>
      </c>
    </row>
    <row r="22" spans="1:2" x14ac:dyDescent="0.25">
      <c r="A22" s="15" t="s">
        <v>148</v>
      </c>
      <c r="B22" s="16">
        <f>B20+B21</f>
      </c>
    </row>
    <row r="24" spans="1:2" x14ac:dyDescent="0.25">
      <c r="A24" t="s">
        <v>149</v>
      </c>
      <c r="B24" s="14">
        <f>ROUND(B12+B13+B14+(VLOOKUP("allein_kurier_grund_eur",Parameter!$A:$B,2,FALSE)+MAX(0.5,B15)*VLOOKUP("allein_kurier_eur_je_kg",Parameter!$A:$B,2,FALSE))+IF(B12+B13+VLOOKUP("allein_kurier_grund_eur",Parameter!$A:$B,2,FALSE)+MAX(0.5,B15)*VLOOKUP("allein_kurier_eur_je_kg",Parameter!$A:$B,2,FALSE)&lt;=150,VLOOKUP("allein_pauschalzoll_eur",Parameter!$A:$B,2,FALSE),(B12+B13+VLOOKUP("allein_kurier_grund_eur",Parameter!$A:$B,2,FALSE)+MAX(0.5,B15)*VLOOKUP("allein_kurier_eur_je_kg",Parameter!$A:$B,2,FALSE))*VLOOKUP("zoll_satz_karten",Parameter!$A:$B,2,FALSE))+(B12+B13+VLOOKUP("allein_kurier_grund_eur",Parameter!$A:$B,2,FALSE)+MAX(0.5,B15)*VLOOKUP("allein_kurier_eur_je_kg",Parameter!$A:$B,2,FALSE)+IF(B12+B13+VLOOKUP("allein_kurier_grund_eur",Parameter!$A:$B,2,FALSE)+MAX(0.5,B15)*VLOOKUP("allein_kurier_eur_je_kg",Parameter!$A:$B,2,FALSE)&lt;=150,VLOOKUP("allein_pauschalzoll_eur",Parameter!$A:$B,2,FALSE),(B12+B13+VLOOKUP("allein_kurier_grund_eur",Parameter!$A:$B,2,FALSE)+MAX(0.5,B15)*VLOOKUP("allein_kurier_eur_je_kg",Parameter!$A:$B,2,FALSE))*VLOOKUP("zoll_satz_karten",Parameter!$A:$B,2,FALSE)))*VLOOKUP("ust_satz_de",Parameter!$A:$B,2,FALSE)+MAX(VLOOKUP("allein_verzollungsgebuehr_eur",Parameter!$A:$B,2,FALSE),0.02*(B12+B13+VLOOKUP("allein_kurier_grund_eur",Parameter!$A:$B,2,FALSE)+MAX(0.5,B15)*VLOOKUP("allein_kurier_eur_je_kg",Parameter!$A:$B,2,FALSE))),2)</f>
      </c>
    </row>
    <row r="25" spans="1:2" x14ac:dyDescent="0.25">
      <c r="A25" s="11" t="s">
        <v>150</v>
      </c>
      <c r="B25" s="17">
        <f>B24-B22</f>
      </c>
    </row>
    <row r="26" spans="1:2" x14ac:dyDescent="0.25">
      <c r="A26" s="11" t="s">
        <v>151</v>
      </c>
      <c r="B26" s="17">
        <f>ROUND(B18-(B22*VLOOKUP("zahlung_prozent",Parameter!$A:$B,2,FALSE)+VLOOKUP("zahlung_fix_eur",Parameter!$A:$B,2,FALSE)),2)</f>
      </c>
    </row>
  </sheetData>
  <dataValidations count="2">
    <dataValidation type="list" sqref="B5">
      <formula1>$E$4:$E$8</formula1>
    </dataValidation>
    <dataValidation type="list" sqref="B6:B7">
      <formula1>"ja,nein"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6" width="12" customWidth="1"/>
    <col min="7" max="7" width="14" customWidth="1"/>
    <col min="8" max="10" width="12" customWidth="1"/>
    <col min="11" max="11" width="14" customWidth="1"/>
    <col min="12" max="12" width="17" customWidth="1"/>
    <col min="13" max="13" width="18" customWidth="1"/>
    <col min="14" max="14" width="24" style="14" customWidth="1"/>
    <col min="15" max="15" width="23" style="14" customWidth="1"/>
    <col min="16" max="16" width="16" style="14" customWidth="1"/>
    <col min="17" max="17" width="24" style="14" customWidth="1"/>
    <col min="18" max="18" width="21" style="14" customWidth="1"/>
    <col min="19" max="19" width="14" style="14" customWidth="1"/>
    <col min="20" max="20" width="12" style="14" customWidth="1"/>
    <col min="21" max="21" width="15" style="18" customWidth="1"/>
    <col min="22" max="22" width="12" style="14" customWidth="1"/>
    <col min="23" max="23" width="13" style="14" customWidth="1"/>
    <col min="24" max="24" width="23" style="14" customWidth="1"/>
    <col min="25" max="25" width="15" customWidth="1"/>
    <col min="26" max="26" width="14" customWidth="1"/>
    <col min="27" max="27" width="15" customWidth="1"/>
    <col min="28" max="28" width="19" customWidth="1"/>
    <col min="29" max="29" width="15" customWidth="1"/>
    <col min="30" max="30" width="12" customWidth="1"/>
  </cols>
  <sheetData>
    <row r="1" ht="22" customHeight="1" spans="1:30" s="5" customFormat="1" x14ac:dyDescent="0.25">
      <c r="A1" s="5" t="s">
        <v>152</v>
      </c>
      <c r="B1" s="5" t="s">
        <v>153</v>
      </c>
      <c r="C1" s="5" t="s">
        <v>154</v>
      </c>
      <c r="D1" s="5" t="s">
        <v>155</v>
      </c>
      <c r="E1" s="5" t="s">
        <v>156</v>
      </c>
      <c r="F1" s="5" t="s">
        <v>157</v>
      </c>
      <c r="G1" s="5" t="s">
        <v>158</v>
      </c>
      <c r="H1" s="5" t="s">
        <v>159</v>
      </c>
      <c r="I1" s="5" t="s">
        <v>160</v>
      </c>
      <c r="J1" s="5" t="s">
        <v>161</v>
      </c>
      <c r="K1" s="5" t="s">
        <v>162</v>
      </c>
      <c r="L1" s="5" t="s">
        <v>163</v>
      </c>
      <c r="M1" s="5" t="s">
        <v>164</v>
      </c>
      <c r="N1" s="19" t="s">
        <v>165</v>
      </c>
      <c r="O1" s="19" t="s">
        <v>166</v>
      </c>
      <c r="P1" s="19" t="s">
        <v>167</v>
      </c>
      <c r="Q1" s="19" t="s">
        <v>168</v>
      </c>
      <c r="R1" s="19" t="s">
        <v>169</v>
      </c>
      <c r="S1" s="19" t="s">
        <v>170</v>
      </c>
      <c r="T1" s="19" t="s">
        <v>171</v>
      </c>
      <c r="U1" s="20" t="s">
        <v>172</v>
      </c>
      <c r="V1" s="19" t="s">
        <v>173</v>
      </c>
      <c r="W1" s="19" t="s">
        <v>174</v>
      </c>
      <c r="X1" s="19" t="s">
        <v>175</v>
      </c>
      <c r="Y1" s="5" t="s">
        <v>176</v>
      </c>
      <c r="Z1" s="5" t="s">
        <v>177</v>
      </c>
      <c r="AA1" s="5" t="s">
        <v>178</v>
      </c>
      <c r="AB1" s="5" t="s">
        <v>179</v>
      </c>
      <c r="AC1" s="5" t="s">
        <v>180</v>
      </c>
      <c r="AD1" s="5" t="s">
        <v>181</v>
      </c>
    </row>
    <row r="2" spans="1:30" x14ac:dyDescent="0.25">
      <c r="A2" t="s">
        <v>182</v>
      </c>
      <c r="B2" t="s">
        <v>183</v>
      </c>
      <c r="C2" s="21">
        <v>46272.30208333333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  <c r="K2" t="s">
        <v>191</v>
      </c>
      <c r="L2" t="s">
        <v>192</v>
      </c>
      <c r="M2" t="s">
        <v>193</v>
      </c>
      <c r="N2" s="14">
        <v>123.45</v>
      </c>
      <c r="O2" s="14">
        <v>123.45</v>
      </c>
      <c r="P2" s="14">
        <v>74.19</v>
      </c>
      <c r="Q2" s="14">
        <v>14.65</v>
      </c>
      <c r="R2" s="14">
        <v>8.71</v>
      </c>
      <c r="S2" s="14">
        <v>6.19</v>
      </c>
      <c r="T2" s="14">
        <v>103.74</v>
      </c>
      <c r="U2" s="18">
        <v>0.19</v>
      </c>
      <c r="V2" s="14">
        <v>19.71</v>
      </c>
      <c r="W2" s="14">
        <v>123.45</v>
      </c>
      <c r="X2" s="14">
        <v>147.21</v>
      </c>
      <c r="Y2">
        <v>181.3</v>
      </c>
      <c r="Z2" t="s">
        <v>194</v>
      </c>
      <c r="AA2" t="s">
        <v>195</v>
      </c>
      <c r="AB2" s="21">
        <v>46289.55208333333</v>
      </c>
      <c r="AC2" t="s">
        <v>196</v>
      </c>
      <c r="AD2" t="s">
        <v>3</v>
      </c>
    </row>
    <row r="3" spans="1:30" x14ac:dyDescent="0.25">
      <c r="A3" t="s">
        <v>197</v>
      </c>
      <c r="B3" t="s">
        <v>198</v>
      </c>
      <c r="C3" s="21">
        <v>46274.30208333333</v>
      </c>
      <c r="D3" t="s">
        <v>184</v>
      </c>
      <c r="E3" t="s">
        <v>199</v>
      </c>
      <c r="F3" t="s">
        <v>200</v>
      </c>
      <c r="G3" t="s">
        <v>187</v>
      </c>
      <c r="H3" t="s">
        <v>201</v>
      </c>
      <c r="I3" t="s">
        <v>202</v>
      </c>
      <c r="J3" t="s">
        <v>190</v>
      </c>
      <c r="K3" t="s">
        <v>203</v>
      </c>
      <c r="L3" t="s">
        <v>192</v>
      </c>
      <c r="M3" t="s">
        <v>204</v>
      </c>
      <c r="N3" s="14">
        <v>211.39</v>
      </c>
      <c r="O3" s="14">
        <v>211.39</v>
      </c>
      <c r="P3" s="14">
        <v>147.82</v>
      </c>
      <c r="Q3" s="14">
        <v>11.24</v>
      </c>
      <c r="R3" s="14">
        <v>12.39</v>
      </c>
      <c r="S3" s="14">
        <v>6.19</v>
      </c>
      <c r="T3" s="14">
        <v>177.64</v>
      </c>
      <c r="U3" s="18">
        <v>0.19</v>
      </c>
      <c r="V3" s="14">
        <v>33.75</v>
      </c>
      <c r="W3" s="14">
        <v>211.39</v>
      </c>
      <c r="X3" s="14">
        <v>232.45</v>
      </c>
      <c r="Y3">
        <v>181.3</v>
      </c>
      <c r="Z3" t="s">
        <v>194</v>
      </c>
      <c r="AA3" t="s">
        <v>205</v>
      </c>
      <c r="AB3" s="21">
        <v>46289.55208333333</v>
      </c>
      <c r="AC3" t="s">
        <v>206</v>
      </c>
      <c r="AD3" t="s">
        <v>3</v>
      </c>
    </row>
    <row r="4" spans="1:30" x14ac:dyDescent="0.25">
      <c r="A4" t="s">
        <v>207</v>
      </c>
      <c r="B4" t="s">
        <v>208</v>
      </c>
      <c r="C4" s="21">
        <v>46276.30208333333</v>
      </c>
      <c r="D4" t="s">
        <v>184</v>
      </c>
      <c r="E4" t="s">
        <v>209</v>
      </c>
      <c r="F4" t="s">
        <v>210</v>
      </c>
      <c r="G4" t="s">
        <v>187</v>
      </c>
      <c r="H4" t="s">
        <v>211</v>
      </c>
      <c r="I4" t="s">
        <v>212</v>
      </c>
      <c r="J4" t="s">
        <v>213</v>
      </c>
      <c r="K4" t="s">
        <v>214</v>
      </c>
      <c r="L4" t="s">
        <v>215</v>
      </c>
      <c r="M4" t="s">
        <v>3</v>
      </c>
      <c r="N4" s="14">
        <v>0</v>
      </c>
      <c r="O4" s="14">
        <v>107.65</v>
      </c>
      <c r="P4" s="14">
        <v>51.3</v>
      </c>
      <c r="Q4" s="14">
        <v>16.69</v>
      </c>
      <c r="R4" s="14">
        <v>7.57</v>
      </c>
      <c r="S4" s="14">
        <v>14.9</v>
      </c>
      <c r="T4" s="14">
        <v>90.46</v>
      </c>
      <c r="U4" s="18">
        <v>0.19</v>
      </c>
      <c r="V4" s="14">
        <v>17.19</v>
      </c>
      <c r="W4" s="14">
        <v>107.65</v>
      </c>
      <c r="X4" s="14">
        <v>118.32</v>
      </c>
      <c r="Y4">
        <v>181.3</v>
      </c>
      <c r="Z4" t="s">
        <v>194</v>
      </c>
      <c r="AA4" t="s">
        <v>216</v>
      </c>
      <c r="AB4" s="21">
        <v>46289.55208333333</v>
      </c>
      <c r="AC4" t="s">
        <v>217</v>
      </c>
      <c r="AD4" t="s">
        <v>3</v>
      </c>
    </row>
    <row r="5" spans="1:30" x14ac:dyDescent="0.25">
      <c r="A5" t="s">
        <v>218</v>
      </c>
      <c r="B5" t="s">
        <v>219</v>
      </c>
      <c r="C5" s="21">
        <v>46303.30208333333</v>
      </c>
      <c r="D5" t="s">
        <v>220</v>
      </c>
      <c r="E5" t="s">
        <v>221</v>
      </c>
      <c r="F5" t="s">
        <v>222</v>
      </c>
      <c r="G5" t="s">
        <v>187</v>
      </c>
      <c r="H5" t="s">
        <v>223</v>
      </c>
      <c r="I5" t="s">
        <v>224</v>
      </c>
      <c r="J5" t="s">
        <v>190</v>
      </c>
      <c r="K5" t="s">
        <v>191</v>
      </c>
      <c r="L5" t="s">
        <v>192</v>
      </c>
      <c r="M5" t="s">
        <v>225</v>
      </c>
      <c r="N5" s="14">
        <v>191.39</v>
      </c>
      <c r="O5" s="14">
        <v>164.79</v>
      </c>
      <c r="P5" s="14">
        <v>106.46</v>
      </c>
      <c r="Q5" s="14">
        <v>15.51</v>
      </c>
      <c r="R5" s="14">
        <v>10.32</v>
      </c>
      <c r="S5" s="14">
        <v>6.19</v>
      </c>
      <c r="T5" s="14">
        <v>138.48</v>
      </c>
      <c r="U5" s="18">
        <v>0.19</v>
      </c>
      <c r="V5" s="14">
        <v>26.31</v>
      </c>
      <c r="W5" s="14">
        <v>164.79</v>
      </c>
      <c r="X5" s="14">
        <v>185.61</v>
      </c>
      <c r="Y5">
        <v>181.3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</row>
    <row r="6" spans="1:30" x14ac:dyDescent="0.25">
      <c r="A6" t="s">
        <v>226</v>
      </c>
      <c r="B6" t="s">
        <v>227</v>
      </c>
      <c r="C6" s="21">
        <v>46307.30208333333</v>
      </c>
      <c r="D6" t="s">
        <v>220</v>
      </c>
      <c r="E6" t="s">
        <v>228</v>
      </c>
      <c r="F6" t="s">
        <v>229</v>
      </c>
      <c r="G6" t="s">
        <v>187</v>
      </c>
      <c r="H6" t="s">
        <v>230</v>
      </c>
      <c r="I6" t="s">
        <v>231</v>
      </c>
      <c r="J6" t="s">
        <v>190</v>
      </c>
      <c r="K6" t="s">
        <v>203</v>
      </c>
      <c r="L6" t="s">
        <v>192</v>
      </c>
      <c r="M6" t="s">
        <v>232</v>
      </c>
      <c r="N6" s="14">
        <v>67.93</v>
      </c>
      <c r="O6" s="14">
        <v>67.93</v>
      </c>
      <c r="P6" s="14">
        <v>40.82</v>
      </c>
      <c r="Q6" s="14">
        <v>7.42</v>
      </c>
      <c r="R6" s="14">
        <v>7.04</v>
      </c>
      <c r="S6" s="14">
        <v>1.8</v>
      </c>
      <c r="T6" s="14">
        <v>57.08</v>
      </c>
      <c r="U6" s="18">
        <v>0.19</v>
      </c>
      <c r="V6" s="14">
        <v>10.85</v>
      </c>
      <c r="W6" s="14">
        <v>67.93</v>
      </c>
      <c r="X6" s="14">
        <v>103.09</v>
      </c>
      <c r="Y6">
        <v>181.3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</row>
    <row r="7" spans="1:30" x14ac:dyDescent="0.25">
      <c r="A7" t="s">
        <v>233</v>
      </c>
      <c r="B7" t="s">
        <v>234</v>
      </c>
      <c r="C7" s="21">
        <v>46312.30208333333</v>
      </c>
      <c r="D7" t="s">
        <v>235</v>
      </c>
      <c r="E7" t="s">
        <v>236</v>
      </c>
      <c r="F7" t="s">
        <v>237</v>
      </c>
      <c r="G7" t="s">
        <v>187</v>
      </c>
      <c r="H7" t="s">
        <v>238</v>
      </c>
      <c r="I7" t="s">
        <v>239</v>
      </c>
      <c r="J7" t="s">
        <v>190</v>
      </c>
      <c r="K7" t="s">
        <v>191</v>
      </c>
      <c r="L7" t="s">
        <v>240</v>
      </c>
      <c r="M7" t="s">
        <v>241</v>
      </c>
      <c r="N7" s="14">
        <v>119.4</v>
      </c>
      <c r="O7" s="14">
        <v>0</v>
      </c>
      <c r="P7" s="14">
        <v>71.71</v>
      </c>
      <c r="Q7" s="14">
        <v>13.85</v>
      </c>
      <c r="R7" s="14">
        <v>8.59</v>
      </c>
      <c r="S7" s="14">
        <v>6.19</v>
      </c>
      <c r="T7" s="14">
        <v>100.34</v>
      </c>
      <c r="U7" s="18">
        <v>0.19</v>
      </c>
      <c r="V7" s="14">
        <v>19.06</v>
      </c>
      <c r="W7" s="14">
        <v>119.4</v>
      </c>
      <c r="X7" s="14">
        <v>142.61</v>
      </c>
      <c r="Y7">
        <v>181.3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4" customWidth="1"/>
    <col min="4" max="4" width="12" customWidth="1"/>
    <col min="5" max="5" width="17" customWidth="1"/>
    <col min="6" max="6" width="13" customWidth="1"/>
    <col min="7" max="7" width="12" customWidth="1"/>
    <col min="8" max="8" width="13" customWidth="1"/>
    <col min="9" max="9" width="17" customWidth="1"/>
    <col min="10" max="10" width="18" customWidth="1"/>
    <col min="11" max="11" width="19" customWidth="1"/>
    <col min="12" max="12" width="18" customWidth="1"/>
    <col min="13" max="13" width="21" style="14" customWidth="1"/>
    <col min="14" max="14" width="23" style="14" customWidth="1"/>
    <col min="15" max="15" width="21" style="14" customWidth="1"/>
    <col min="16" max="16" width="23" style="14" customWidth="1"/>
    <col min="17" max="17" width="17" style="14" customWidth="1"/>
    <col min="18" max="18" width="18" style="14" customWidth="1"/>
    <col min="19" max="19" width="18" customWidth="1"/>
    <col min="20" max="20" width="17" customWidth="1"/>
    <col min="21" max="21" width="21" customWidth="1"/>
    <col min="22" max="22" width="16" customWidth="1"/>
    <col min="23" max="23" width="20" style="14" customWidth="1"/>
    <col min="24" max="24" width="23" style="14" customWidth="1"/>
    <col min="25" max="25" width="24" style="14" customWidth="1"/>
    <col min="26" max="26" width="15" customWidth="1"/>
    <col min="27" max="27" width="16" customWidth="1"/>
  </cols>
  <sheetData>
    <row r="1" ht="22" customHeight="1" spans="1:27" s="5" customFormat="1" x14ac:dyDescent="0.25">
      <c r="A1" s="5" t="s">
        <v>242</v>
      </c>
      <c r="B1" s="5" t="s">
        <v>243</v>
      </c>
      <c r="C1" s="5" t="s">
        <v>244</v>
      </c>
      <c r="D1" s="5" t="s">
        <v>245</v>
      </c>
      <c r="E1" s="5" t="s">
        <v>246</v>
      </c>
      <c r="F1" s="5" t="s">
        <v>247</v>
      </c>
      <c r="G1" s="5" t="s">
        <v>248</v>
      </c>
      <c r="H1" s="5" t="s">
        <v>249</v>
      </c>
      <c r="I1" s="5" t="s">
        <v>250</v>
      </c>
      <c r="J1" s="5" t="s">
        <v>251</v>
      </c>
      <c r="K1" s="5" t="s">
        <v>252</v>
      </c>
      <c r="L1" s="5" t="s">
        <v>253</v>
      </c>
      <c r="M1" s="19" t="s">
        <v>254</v>
      </c>
      <c r="N1" s="19" t="s">
        <v>255</v>
      </c>
      <c r="O1" s="19" t="s">
        <v>256</v>
      </c>
      <c r="P1" s="19" t="s">
        <v>257</v>
      </c>
      <c r="Q1" s="19" t="s">
        <v>258</v>
      </c>
      <c r="R1" s="19" t="s">
        <v>259</v>
      </c>
      <c r="S1" s="5" t="s">
        <v>260</v>
      </c>
      <c r="T1" s="5" t="s">
        <v>261</v>
      </c>
      <c r="U1" s="5" t="s">
        <v>262</v>
      </c>
      <c r="V1" s="5" t="s">
        <v>263</v>
      </c>
      <c r="W1" s="19" t="s">
        <v>264</v>
      </c>
      <c r="X1" s="19" t="s">
        <v>265</v>
      </c>
      <c r="Y1" s="19" t="s">
        <v>266</v>
      </c>
      <c r="Z1" s="5" t="s">
        <v>267</v>
      </c>
      <c r="AA1" s="5" t="s">
        <v>268</v>
      </c>
    </row>
    <row r="2" spans="1:27" x14ac:dyDescent="0.25">
      <c r="A2" t="s">
        <v>269</v>
      </c>
      <c r="B2" t="s">
        <v>182</v>
      </c>
      <c r="C2" t="s">
        <v>184</v>
      </c>
      <c r="D2" t="s">
        <v>270</v>
      </c>
      <c r="E2" t="s">
        <v>271</v>
      </c>
      <c r="F2" t="s">
        <v>272</v>
      </c>
      <c r="G2" t="s">
        <v>273</v>
      </c>
      <c r="H2">
        <v>1</v>
      </c>
      <c r="I2">
        <v>9250</v>
      </c>
      <c r="J2">
        <v>0</v>
      </c>
      <c r="K2">
        <v>800</v>
      </c>
      <c r="L2">
        <v>0.04</v>
      </c>
      <c r="M2" s="14">
        <v>51.02</v>
      </c>
      <c r="N2" s="14">
        <v>7.7</v>
      </c>
      <c r="O2" s="14">
        <v>1.39</v>
      </c>
      <c r="P2" s="14">
        <v>1.9</v>
      </c>
      <c r="Q2" s="14">
        <v>68.97</v>
      </c>
      <c r="R2" s="14">
        <v>82.07</v>
      </c>
      <c r="S2" t="s">
        <v>274</v>
      </c>
      <c r="T2" s="21">
        <v>46273.76041666667</v>
      </c>
      <c r="U2">
        <v>9250</v>
      </c>
      <c r="V2">
        <v>185</v>
      </c>
      <c r="W2" s="14">
        <v>50</v>
      </c>
      <c r="X2" s="14">
        <v>4.32</v>
      </c>
      <c r="Y2" s="14">
        <v>2.57</v>
      </c>
      <c r="Z2" t="s">
        <v>194</v>
      </c>
      <c r="AA2" t="s">
        <v>131</v>
      </c>
    </row>
    <row r="3" spans="1:27" x14ac:dyDescent="0.25">
      <c r="A3" t="s">
        <v>275</v>
      </c>
      <c r="B3" t="s">
        <v>182</v>
      </c>
      <c r="C3" t="s">
        <v>184</v>
      </c>
      <c r="D3" t="s">
        <v>276</v>
      </c>
      <c r="E3" t="s">
        <v>271</v>
      </c>
      <c r="F3" t="s">
        <v>277</v>
      </c>
      <c r="G3" t="s">
        <v>273</v>
      </c>
      <c r="H3">
        <v>1</v>
      </c>
      <c r="I3">
        <v>4200</v>
      </c>
      <c r="J3">
        <v>0</v>
      </c>
      <c r="K3">
        <v>800</v>
      </c>
      <c r="L3">
        <v>0.04</v>
      </c>
      <c r="M3" s="14">
        <v>23.17</v>
      </c>
      <c r="N3" s="14">
        <v>6.95</v>
      </c>
      <c r="O3" s="14">
        <v>0.64</v>
      </c>
      <c r="P3" s="14">
        <v>1.9</v>
      </c>
      <c r="Q3" s="14">
        <v>34.77</v>
      </c>
      <c r="R3" s="14">
        <v>41.38</v>
      </c>
      <c r="S3" t="s">
        <v>278</v>
      </c>
      <c r="T3" s="21">
        <v>46273.76041666667</v>
      </c>
      <c r="U3">
        <v>4200</v>
      </c>
      <c r="V3">
        <v>185</v>
      </c>
      <c r="W3" s="14">
        <v>22.7</v>
      </c>
      <c r="X3" s="14">
        <v>4.32</v>
      </c>
      <c r="Y3" s="14">
        <v>2.57</v>
      </c>
      <c r="Z3" t="s">
        <v>194</v>
      </c>
      <c r="AA3" t="s">
        <v>131</v>
      </c>
    </row>
    <row r="4" spans="1:27" x14ac:dyDescent="0.25">
      <c r="A4" t="s">
        <v>279</v>
      </c>
      <c r="B4" t="s">
        <v>197</v>
      </c>
      <c r="C4" t="s">
        <v>184</v>
      </c>
      <c r="D4" t="s">
        <v>280</v>
      </c>
      <c r="E4" t="s">
        <v>281</v>
      </c>
      <c r="F4" t="s">
        <v>282</v>
      </c>
      <c r="G4" t="s">
        <v>283</v>
      </c>
      <c r="H4">
        <v>1</v>
      </c>
      <c r="I4">
        <v>26800</v>
      </c>
      <c r="J4">
        <v>0</v>
      </c>
      <c r="K4">
        <v>800</v>
      </c>
      <c r="L4">
        <v>0.13</v>
      </c>
      <c r="M4" s="14">
        <v>147.82</v>
      </c>
      <c r="N4" s="14">
        <v>11.24</v>
      </c>
      <c r="O4" s="14">
        <v>4.03</v>
      </c>
      <c r="P4" s="14">
        <v>2.8</v>
      </c>
      <c r="Q4" s="14">
        <v>177.64</v>
      </c>
      <c r="R4" s="14">
        <v>211.39</v>
      </c>
      <c r="S4" t="s">
        <v>284</v>
      </c>
      <c r="T4" s="21">
        <v>46275.76041666667</v>
      </c>
      <c r="U4">
        <v>26800</v>
      </c>
      <c r="V4">
        <v>185</v>
      </c>
      <c r="W4" s="14">
        <v>144.86</v>
      </c>
      <c r="X4" s="14">
        <v>4.32</v>
      </c>
      <c r="Y4" s="14">
        <v>8.35</v>
      </c>
      <c r="Z4" t="s">
        <v>194</v>
      </c>
      <c r="AA4" t="s">
        <v>131</v>
      </c>
    </row>
    <row r="5" spans="1:27" x14ac:dyDescent="0.25">
      <c r="A5" t="s">
        <v>285</v>
      </c>
      <c r="B5" t="s">
        <v>207</v>
      </c>
      <c r="C5" t="s">
        <v>184</v>
      </c>
      <c r="D5" t="s">
        <v>286</v>
      </c>
      <c r="E5" t="s">
        <v>287</v>
      </c>
      <c r="F5" t="s">
        <v>288</v>
      </c>
      <c r="G5" t="s">
        <v>289</v>
      </c>
      <c r="H5">
        <v>1</v>
      </c>
      <c r="I5">
        <v>6900</v>
      </c>
      <c r="J5">
        <v>0</v>
      </c>
      <c r="K5">
        <v>500</v>
      </c>
      <c r="L5">
        <v>0.45</v>
      </c>
      <c r="M5" s="14">
        <v>38.06</v>
      </c>
      <c r="N5" s="14">
        <v>9.91</v>
      </c>
      <c r="O5" s="14">
        <v>1.15</v>
      </c>
      <c r="P5" s="14">
        <v>6</v>
      </c>
      <c r="Q5" s="14">
        <v>64.64</v>
      </c>
      <c r="R5" s="14">
        <v>76.92</v>
      </c>
      <c r="S5" t="s">
        <v>290</v>
      </c>
      <c r="T5" s="21">
        <v>46277.76041666667</v>
      </c>
      <c r="U5">
        <v>6900</v>
      </c>
      <c r="V5">
        <v>185</v>
      </c>
      <c r="W5" s="14">
        <v>37.3</v>
      </c>
      <c r="X5" s="14">
        <v>2.7</v>
      </c>
      <c r="Y5" s="14">
        <v>28.9</v>
      </c>
      <c r="Z5" t="s">
        <v>194</v>
      </c>
      <c r="AA5" t="s">
        <v>131</v>
      </c>
    </row>
    <row r="6" spans="1:27" x14ac:dyDescent="0.25">
      <c r="A6" t="s">
        <v>291</v>
      </c>
      <c r="B6" t="s">
        <v>207</v>
      </c>
      <c r="C6" t="s">
        <v>184</v>
      </c>
      <c r="D6" t="s">
        <v>292</v>
      </c>
      <c r="E6" t="s">
        <v>271</v>
      </c>
      <c r="F6" t="s">
        <v>293</v>
      </c>
      <c r="G6" t="s">
        <v>294</v>
      </c>
      <c r="H6">
        <v>1</v>
      </c>
      <c r="I6">
        <v>2400</v>
      </c>
      <c r="J6">
        <v>0</v>
      </c>
      <c r="K6">
        <v>800</v>
      </c>
      <c r="L6">
        <v>0.05</v>
      </c>
      <c r="M6" s="14">
        <v>13.24</v>
      </c>
      <c r="N6" s="14">
        <v>6.78</v>
      </c>
      <c r="O6" s="14">
        <v>0.37</v>
      </c>
      <c r="P6" s="14">
        <v>2</v>
      </c>
      <c r="Q6" s="14">
        <v>25.82</v>
      </c>
      <c r="R6" s="14">
        <v>30.73</v>
      </c>
      <c r="S6" t="s">
        <v>295</v>
      </c>
      <c r="T6" s="21">
        <v>46277.76041666667</v>
      </c>
      <c r="U6">
        <v>2400</v>
      </c>
      <c r="V6">
        <v>185</v>
      </c>
      <c r="W6" s="14">
        <v>12.97</v>
      </c>
      <c r="X6" s="14">
        <v>4.32</v>
      </c>
      <c r="Y6" s="14">
        <v>3.2</v>
      </c>
      <c r="Z6" t="s">
        <v>194</v>
      </c>
      <c r="AA6" t="s">
        <v>131</v>
      </c>
    </row>
    <row r="7" spans="1:27" x14ac:dyDescent="0.25">
      <c r="A7" t="s">
        <v>296</v>
      </c>
      <c r="B7" t="s">
        <v>218</v>
      </c>
      <c r="C7" t="s">
        <v>220</v>
      </c>
      <c r="D7" t="s">
        <v>297</v>
      </c>
      <c r="E7" t="s">
        <v>271</v>
      </c>
      <c r="F7" t="s">
        <v>298</v>
      </c>
      <c r="G7" t="s">
        <v>273</v>
      </c>
      <c r="H7">
        <v>1</v>
      </c>
      <c r="I7">
        <v>15800</v>
      </c>
      <c r="J7">
        <v>0</v>
      </c>
      <c r="K7">
        <v>800</v>
      </c>
      <c r="L7">
        <v>0.04</v>
      </c>
      <c r="M7" s="14">
        <v>87.15</v>
      </c>
      <c r="N7" s="14">
        <v>8.67</v>
      </c>
      <c r="O7" s="14">
        <v>2.36</v>
      </c>
      <c r="P7" s="14">
        <v>1.9</v>
      </c>
      <c r="Q7" s="14">
        <v>109.34</v>
      </c>
      <c r="R7" s="14">
        <v>130.11</v>
      </c>
      <c r="S7" t="s">
        <v>299</v>
      </c>
      <c r="T7" s="21">
        <v>46304.76041666667</v>
      </c>
      <c r="U7">
        <v>15800</v>
      </c>
      <c r="V7">
        <v>185</v>
      </c>
      <c r="W7" s="14">
        <v>85.41</v>
      </c>
      <c r="X7" s="14">
        <v>4.32</v>
      </c>
      <c r="Y7" s="14" t="s">
        <v>3</v>
      </c>
      <c r="Z7" t="s">
        <v>3</v>
      </c>
      <c r="AA7" t="s">
        <v>3</v>
      </c>
    </row>
    <row r="8" spans="1:27" x14ac:dyDescent="0.25">
      <c r="A8" t="s">
        <v>300</v>
      </c>
      <c r="B8" t="s">
        <v>218</v>
      </c>
      <c r="C8" t="s">
        <v>220</v>
      </c>
      <c r="D8" t="s">
        <v>301</v>
      </c>
      <c r="E8" t="s">
        <v>271</v>
      </c>
      <c r="F8" t="s">
        <v>302</v>
      </c>
      <c r="G8" t="s">
        <v>273</v>
      </c>
      <c r="H8">
        <v>1</v>
      </c>
      <c r="I8">
        <v>3500</v>
      </c>
      <c r="J8">
        <v>0</v>
      </c>
      <c r="K8">
        <v>800</v>
      </c>
      <c r="L8">
        <v>0.04</v>
      </c>
      <c r="M8" s="14">
        <v>19.31</v>
      </c>
      <c r="N8" s="14">
        <v>6.84</v>
      </c>
      <c r="O8" s="14">
        <v>0.53</v>
      </c>
      <c r="P8" s="14">
        <v>1.9</v>
      </c>
      <c r="Q8" s="14">
        <v>29.14</v>
      </c>
      <c r="R8" s="14">
        <v>34.68</v>
      </c>
      <c r="S8" t="s">
        <v>303</v>
      </c>
      <c r="T8" s="21">
        <v>46304.76041666667</v>
      </c>
      <c r="U8">
        <v>3500</v>
      </c>
      <c r="V8">
        <v>185</v>
      </c>
      <c r="W8" s="14">
        <v>18.92</v>
      </c>
      <c r="X8" s="14">
        <v>4.32</v>
      </c>
      <c r="Y8" s="14" t="s">
        <v>3</v>
      </c>
      <c r="Z8" t="s">
        <v>3</v>
      </c>
      <c r="AA8" t="s">
        <v>3</v>
      </c>
    </row>
    <row r="9" spans="1:27" x14ac:dyDescent="0.25">
      <c r="A9" t="s">
        <v>304</v>
      </c>
      <c r="B9" t="s">
        <v>218</v>
      </c>
      <c r="C9" t="s">
        <v>305</v>
      </c>
      <c r="D9" t="s">
        <v>306</v>
      </c>
      <c r="E9" t="s">
        <v>271</v>
      </c>
      <c r="F9" t="s">
        <v>307</v>
      </c>
      <c r="G9" t="s">
        <v>273</v>
      </c>
      <c r="H9">
        <v>1</v>
      </c>
      <c r="I9">
        <v>2800</v>
      </c>
      <c r="J9">
        <v>0</v>
      </c>
      <c r="K9">
        <v>800</v>
      </c>
      <c r="L9">
        <v>0.04</v>
      </c>
      <c r="M9" s="14">
        <v>15.44</v>
      </c>
      <c r="N9" s="14">
        <v>6.74</v>
      </c>
      <c r="O9" s="14">
        <v>0.43</v>
      </c>
      <c r="P9" s="14">
        <v>1.9</v>
      </c>
      <c r="Q9" s="14">
        <v>24.29</v>
      </c>
      <c r="R9" s="14">
        <v>28.91</v>
      </c>
      <c r="S9" t="s">
        <v>3</v>
      </c>
      <c r="T9" t="s">
        <v>3</v>
      </c>
      <c r="U9" t="s">
        <v>3</v>
      </c>
      <c r="V9" t="s">
        <v>3</v>
      </c>
      <c r="W9" s="14" t="s">
        <v>3</v>
      </c>
      <c r="X9" s="14" t="s">
        <v>3</v>
      </c>
      <c r="Y9" s="14" t="s">
        <v>3</v>
      </c>
      <c r="Z9" t="s">
        <v>3</v>
      </c>
      <c r="AA9" t="s">
        <v>3</v>
      </c>
    </row>
    <row r="10" spans="1:27" x14ac:dyDescent="0.25">
      <c r="A10" t="s">
        <v>308</v>
      </c>
      <c r="B10" t="s">
        <v>226</v>
      </c>
      <c r="C10" t="s">
        <v>220</v>
      </c>
      <c r="D10" t="s">
        <v>309</v>
      </c>
      <c r="E10" t="s">
        <v>271</v>
      </c>
      <c r="F10" t="s">
        <v>310</v>
      </c>
      <c r="G10" t="s">
        <v>273</v>
      </c>
      <c r="H10">
        <v>1</v>
      </c>
      <c r="I10">
        <v>7400</v>
      </c>
      <c r="J10">
        <v>0</v>
      </c>
      <c r="K10">
        <v>800</v>
      </c>
      <c r="L10">
        <v>0.04</v>
      </c>
      <c r="M10" s="14">
        <v>40.82</v>
      </c>
      <c r="N10" s="14">
        <v>7.42</v>
      </c>
      <c r="O10" s="14">
        <v>1.11</v>
      </c>
      <c r="P10" s="14">
        <v>1.9</v>
      </c>
      <c r="Q10" s="14">
        <v>57.08</v>
      </c>
      <c r="R10" s="14">
        <v>67.93</v>
      </c>
      <c r="S10" t="s">
        <v>311</v>
      </c>
      <c r="T10" s="21">
        <v>46308.76041666667</v>
      </c>
      <c r="U10">
        <v>7400</v>
      </c>
      <c r="V10">
        <v>185</v>
      </c>
      <c r="W10" s="14">
        <v>40</v>
      </c>
      <c r="X10" s="14">
        <v>4.32</v>
      </c>
      <c r="Y10" s="14" t="s">
        <v>3</v>
      </c>
      <c r="Z10" t="s">
        <v>3</v>
      </c>
      <c r="AA10" t="s">
        <v>3</v>
      </c>
    </row>
    <row r="11" spans="1:27" x14ac:dyDescent="0.25">
      <c r="A11" t="s">
        <v>312</v>
      </c>
      <c r="B11" t="s">
        <v>233</v>
      </c>
      <c r="C11" t="s">
        <v>313</v>
      </c>
      <c r="D11" t="s">
        <v>314</v>
      </c>
      <c r="E11" t="s">
        <v>271</v>
      </c>
      <c r="F11" t="s">
        <v>315</v>
      </c>
      <c r="G11" t="s">
        <v>283</v>
      </c>
      <c r="H11">
        <v>1</v>
      </c>
      <c r="I11">
        <v>11200</v>
      </c>
      <c r="J11">
        <v>0</v>
      </c>
      <c r="K11">
        <v>800</v>
      </c>
      <c r="L11">
        <v>0.13</v>
      </c>
      <c r="M11" s="14">
        <v>61.78</v>
      </c>
      <c r="N11" s="14">
        <v>8.91</v>
      </c>
      <c r="O11" s="14">
        <v>1.7</v>
      </c>
      <c r="P11" s="14">
        <v>2.8</v>
      </c>
      <c r="Q11" s="14">
        <v>83.42</v>
      </c>
      <c r="R11" s="14">
        <v>99.27</v>
      </c>
      <c r="S11" t="s">
        <v>3</v>
      </c>
      <c r="T11" t="s">
        <v>3</v>
      </c>
      <c r="U11" t="s">
        <v>3</v>
      </c>
      <c r="V11" t="s">
        <v>3</v>
      </c>
      <c r="W11" s="14" t="s">
        <v>3</v>
      </c>
      <c r="X11" s="14" t="s">
        <v>3</v>
      </c>
      <c r="Y11" s="14" t="s">
        <v>3</v>
      </c>
      <c r="Z11" t="s">
        <v>3</v>
      </c>
      <c r="AA11" t="s">
        <v>3</v>
      </c>
    </row>
    <row r="12" spans="1:27" x14ac:dyDescent="0.25">
      <c r="A12" t="s">
        <v>316</v>
      </c>
      <c r="B12" t="s">
        <v>233</v>
      </c>
      <c r="C12" t="s">
        <v>313</v>
      </c>
      <c r="D12" t="s">
        <v>317</v>
      </c>
      <c r="E12" t="s">
        <v>318</v>
      </c>
      <c r="F12" t="s">
        <v>319</v>
      </c>
      <c r="G12" t="s">
        <v>273</v>
      </c>
      <c r="H12">
        <v>1</v>
      </c>
      <c r="I12">
        <v>1800</v>
      </c>
      <c r="J12">
        <v>0</v>
      </c>
      <c r="K12">
        <v>500</v>
      </c>
      <c r="L12">
        <v>0.04</v>
      </c>
      <c r="M12" s="14">
        <v>9.93</v>
      </c>
      <c r="N12" s="14">
        <v>4.94</v>
      </c>
      <c r="O12" s="14">
        <v>0.28</v>
      </c>
      <c r="P12" s="14">
        <v>1.9</v>
      </c>
      <c r="Q12" s="14">
        <v>16.92</v>
      </c>
      <c r="R12" s="14">
        <v>20.13</v>
      </c>
      <c r="S12" t="s">
        <v>3</v>
      </c>
      <c r="T12" t="s">
        <v>3</v>
      </c>
      <c r="U12" t="s">
        <v>3</v>
      </c>
      <c r="V12" t="s">
        <v>3</v>
      </c>
      <c r="W12" s="14" t="s">
        <v>3</v>
      </c>
      <c r="X12" s="14" t="s">
        <v>3</v>
      </c>
      <c r="Y12" s="14" t="s">
        <v>3</v>
      </c>
      <c r="Z12" t="s">
        <v>3</v>
      </c>
      <c r="AA12" t="s">
        <v>3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13" customWidth="1"/>
    <col min="5" max="5" width="15" customWidth="1"/>
    <col min="6" max="7" width="17" customWidth="1"/>
    <col min="8" max="8" width="17" style="14" customWidth="1"/>
    <col min="9" max="10" width="15" style="14" customWidth="1"/>
    <col min="11" max="11" width="21" style="14" customWidth="1"/>
    <col min="12" max="12" width="20" style="14" customWidth="1"/>
    <col min="13" max="13" width="17" customWidth="1"/>
    <col min="14" max="14" width="16" customWidth="1"/>
    <col min="15" max="15" width="20" style="14" customWidth="1"/>
    <col min="16" max="16" width="24" style="14" customWidth="1"/>
    <col min="17" max="17" width="23" style="14" customWidth="1"/>
    <col min="18" max="18" width="21" style="14" customWidth="1"/>
    <col min="19" max="19" width="16" customWidth="1"/>
    <col min="20" max="20" width="17" customWidth="1"/>
  </cols>
  <sheetData>
    <row r="1" ht="22" customHeight="1" spans="1:20" s="5" customFormat="1" x14ac:dyDescent="0.25">
      <c r="A1" s="5" t="s">
        <v>320</v>
      </c>
      <c r="B1" s="5" t="s">
        <v>321</v>
      </c>
      <c r="C1" s="5" t="s">
        <v>322</v>
      </c>
      <c r="D1" s="5" t="s">
        <v>323</v>
      </c>
      <c r="E1" s="5" t="s">
        <v>324</v>
      </c>
      <c r="F1" s="5" t="s">
        <v>325</v>
      </c>
      <c r="G1" s="5" t="s">
        <v>326</v>
      </c>
      <c r="H1" s="19" t="s">
        <v>327</v>
      </c>
      <c r="I1" s="19" t="s">
        <v>328</v>
      </c>
      <c r="J1" s="19" t="s">
        <v>329</v>
      </c>
      <c r="K1" s="19" t="s">
        <v>330</v>
      </c>
      <c r="L1" s="19" t="s">
        <v>331</v>
      </c>
      <c r="M1" s="5" t="s">
        <v>332</v>
      </c>
      <c r="N1" s="5" t="s">
        <v>333</v>
      </c>
      <c r="O1" s="19" t="s">
        <v>334</v>
      </c>
      <c r="P1" s="19" t="s">
        <v>335</v>
      </c>
      <c r="Q1" s="19" t="s">
        <v>336</v>
      </c>
      <c r="R1" s="19" t="s">
        <v>337</v>
      </c>
      <c r="S1" s="5" t="s">
        <v>338</v>
      </c>
      <c r="T1" s="5" t="s">
        <v>339</v>
      </c>
    </row>
    <row r="2" spans="1:20" x14ac:dyDescent="0.25">
      <c r="A2" t="s">
        <v>194</v>
      </c>
      <c r="B2" t="s">
        <v>340</v>
      </c>
      <c r="C2" s="21">
        <v>46282.26041666667</v>
      </c>
      <c r="D2" t="s">
        <v>341</v>
      </c>
      <c r="E2" t="s">
        <v>342</v>
      </c>
      <c r="F2">
        <v>1.2</v>
      </c>
      <c r="G2">
        <v>4900</v>
      </c>
      <c r="H2" s="14">
        <v>26.49</v>
      </c>
      <c r="I2" s="14">
        <v>4.1</v>
      </c>
      <c r="J2" s="14">
        <v>63.4</v>
      </c>
      <c r="K2" s="14">
        <v>15</v>
      </c>
      <c r="L2" s="14">
        <v>0</v>
      </c>
      <c r="M2">
        <v>5</v>
      </c>
      <c r="N2">
        <v>3</v>
      </c>
      <c r="O2" s="14">
        <v>267.83</v>
      </c>
      <c r="P2" s="14">
        <v>22.18</v>
      </c>
      <c r="Q2" s="14">
        <v>45.59</v>
      </c>
      <c r="R2" s="14">
        <v>-23.41</v>
      </c>
      <c r="S2" s="21">
        <v>46282.30208333333</v>
      </c>
      <c r="T2" s="21">
        <v>46288.38541666667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  <col min="4" max="4" width="17" customWidth="1"/>
    <col min="5" max="8" width="12" customWidth="1"/>
    <col min="9" max="9" width="12" style="14" customWidth="1"/>
    <col min="10" max="10" width="15" style="18" customWidth="1"/>
    <col min="11" max="11" width="12" style="14" customWidth="1"/>
    <col min="12" max="12" width="13" style="14" customWidth="1"/>
    <col min="13" max="13" width="17" customWidth="1"/>
  </cols>
  <sheetData>
    <row r="1" ht="22" customHeight="1" spans="1:13" s="5" customFormat="1" x14ac:dyDescent="0.25">
      <c r="A1" s="5" t="s">
        <v>343</v>
      </c>
      <c r="B1" s="5" t="s">
        <v>344</v>
      </c>
      <c r="C1" s="5" t="s">
        <v>345</v>
      </c>
      <c r="D1" s="5" t="s">
        <v>346</v>
      </c>
      <c r="E1" s="5" t="s">
        <v>347</v>
      </c>
      <c r="F1" s="5" t="s">
        <v>348</v>
      </c>
      <c r="G1" s="5" t="s">
        <v>349</v>
      </c>
      <c r="H1" s="5" t="s">
        <v>350</v>
      </c>
      <c r="I1" s="19" t="s">
        <v>351</v>
      </c>
      <c r="J1" s="20" t="s">
        <v>352</v>
      </c>
      <c r="K1" s="19" t="s">
        <v>353</v>
      </c>
      <c r="L1" s="19" t="s">
        <v>354</v>
      </c>
      <c r="M1" s="5" t="s">
        <v>355</v>
      </c>
    </row>
    <row r="2" spans="1:13" x14ac:dyDescent="0.25">
      <c r="A2" t="s">
        <v>195</v>
      </c>
      <c r="B2" s="21">
        <v>46289.55208333333</v>
      </c>
      <c r="C2" s="21">
        <v>46289.55208333333</v>
      </c>
      <c r="D2" t="s">
        <v>182</v>
      </c>
      <c r="E2" t="s">
        <v>356</v>
      </c>
      <c r="F2" t="s">
        <v>3</v>
      </c>
      <c r="G2" t="s">
        <v>185</v>
      </c>
      <c r="H2" t="s">
        <v>190</v>
      </c>
      <c r="I2" s="14">
        <v>103.74</v>
      </c>
      <c r="J2" s="18">
        <v>0.19</v>
      </c>
      <c r="K2" s="14">
        <v>19.71</v>
      </c>
      <c r="L2" s="14">
        <v>123.45</v>
      </c>
      <c r="M2" t="s">
        <v>357</v>
      </c>
    </row>
    <row r="3" spans="1:13" x14ac:dyDescent="0.25">
      <c r="A3" t="s">
        <v>205</v>
      </c>
      <c r="B3" s="21">
        <v>46289.55208333333</v>
      </c>
      <c r="C3" s="21">
        <v>46289.55208333333</v>
      </c>
      <c r="D3" t="s">
        <v>197</v>
      </c>
      <c r="E3" t="s">
        <v>356</v>
      </c>
      <c r="F3" t="s">
        <v>3</v>
      </c>
      <c r="G3" t="s">
        <v>199</v>
      </c>
      <c r="H3" t="s">
        <v>190</v>
      </c>
      <c r="I3" s="14">
        <v>177.64</v>
      </c>
      <c r="J3" s="18">
        <v>0.19</v>
      </c>
      <c r="K3" s="14">
        <v>33.75</v>
      </c>
      <c r="L3" s="14">
        <v>211.39</v>
      </c>
      <c r="M3" t="s">
        <v>358</v>
      </c>
    </row>
    <row r="4" spans="1:13" x14ac:dyDescent="0.25">
      <c r="A4" t="s">
        <v>216</v>
      </c>
      <c r="B4" s="21">
        <v>46289.55208333333</v>
      </c>
      <c r="C4" s="21">
        <v>46289.55208333333</v>
      </c>
      <c r="D4" t="s">
        <v>207</v>
      </c>
      <c r="E4" t="s">
        <v>356</v>
      </c>
      <c r="F4" t="s">
        <v>3</v>
      </c>
      <c r="G4" t="s">
        <v>209</v>
      </c>
      <c r="H4" t="s">
        <v>213</v>
      </c>
      <c r="I4" s="14">
        <v>90.46</v>
      </c>
      <c r="J4" s="18">
        <v>0.19</v>
      </c>
      <c r="K4" s="14">
        <v>17.19</v>
      </c>
      <c r="L4" s="14">
        <v>107.65</v>
      </c>
      <c r="M4" t="s">
        <v>359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style="14" customWidth="1"/>
    <col min="8" max="8" width="13" customWidth="1"/>
    <col min="9" max="9" width="19" style="14" customWidth="1"/>
    <col min="10" max="10" width="12" customWidth="1"/>
  </cols>
  <sheetData>
    <row r="1" ht="22" customHeight="1" spans="1:10" s="5" customFormat="1" x14ac:dyDescent="0.25">
      <c r="A1" s="5" t="s">
        <v>360</v>
      </c>
      <c r="B1" s="5" t="s">
        <v>361</v>
      </c>
      <c r="C1" s="5" t="s">
        <v>362</v>
      </c>
      <c r="D1" s="5" t="s">
        <v>363</v>
      </c>
      <c r="E1" s="5" t="s">
        <v>364</v>
      </c>
      <c r="F1" s="5" t="s">
        <v>365</v>
      </c>
      <c r="G1" s="19" t="s">
        <v>366</v>
      </c>
      <c r="H1" s="5" t="s">
        <v>367</v>
      </c>
      <c r="I1" s="19" t="s">
        <v>368</v>
      </c>
      <c r="J1" s="5" t="s">
        <v>369</v>
      </c>
    </row>
    <row r="2" spans="1:10" x14ac:dyDescent="0.25">
      <c r="A2">
        <v>1</v>
      </c>
      <c r="B2" s="21">
        <v>46277.67708333333</v>
      </c>
      <c r="C2" t="s">
        <v>207</v>
      </c>
      <c r="D2" t="s">
        <v>370</v>
      </c>
      <c r="E2">
        <v>1200</v>
      </c>
      <c r="F2">
        <v>1718</v>
      </c>
      <c r="G2" s="14">
        <v>107.65</v>
      </c>
      <c r="H2" t="s">
        <v>371</v>
      </c>
      <c r="I2" s="14">
        <v>17.19</v>
      </c>
      <c r="J2" t="s">
        <v>207</v>
      </c>
    </row>
    <row r="3" spans="1:10" x14ac:dyDescent="0.25">
      <c r="A3">
        <v>2</v>
      </c>
      <c r="B3" s="21">
        <v>46273.76041666667</v>
      </c>
      <c r="C3" t="s">
        <v>269</v>
      </c>
      <c r="D3" t="s">
        <v>372</v>
      </c>
      <c r="E3">
        <v>3200</v>
      </c>
      <c r="F3">
        <v>1210</v>
      </c>
      <c r="G3" s="14">
        <v>50</v>
      </c>
      <c r="H3" t="s">
        <v>3</v>
      </c>
      <c r="I3" s="14">
        <v>0</v>
      </c>
      <c r="J3" t="s">
        <v>269</v>
      </c>
    </row>
    <row r="4" spans="1:10" x14ac:dyDescent="0.25">
      <c r="A4">
        <v>3</v>
      </c>
      <c r="B4" s="21">
        <v>46273.76041666667</v>
      </c>
      <c r="C4" t="s">
        <v>269</v>
      </c>
      <c r="D4" t="s">
        <v>373</v>
      </c>
      <c r="E4">
        <v>3800</v>
      </c>
      <c r="F4">
        <v>1210</v>
      </c>
      <c r="G4" s="14">
        <v>4.32</v>
      </c>
      <c r="H4" t="s">
        <v>374</v>
      </c>
      <c r="I4" s="14">
        <v>0</v>
      </c>
      <c r="J4" t="s">
        <v>269</v>
      </c>
    </row>
    <row r="5" spans="1:10" x14ac:dyDescent="0.25">
      <c r="A5">
        <v>4</v>
      </c>
      <c r="B5" s="21">
        <v>46273.76041666667</v>
      </c>
      <c r="C5" t="s">
        <v>275</v>
      </c>
      <c r="D5" t="s">
        <v>375</v>
      </c>
      <c r="E5">
        <v>3200</v>
      </c>
      <c r="F5">
        <v>1210</v>
      </c>
      <c r="G5" s="14">
        <v>22.7</v>
      </c>
      <c r="H5" t="s">
        <v>3</v>
      </c>
      <c r="I5" s="14">
        <v>0</v>
      </c>
      <c r="J5" t="s">
        <v>275</v>
      </c>
    </row>
    <row r="6" spans="1:10" x14ac:dyDescent="0.25">
      <c r="A6">
        <v>5</v>
      </c>
      <c r="B6" s="21">
        <v>46273.76041666667</v>
      </c>
      <c r="C6" t="s">
        <v>275</v>
      </c>
      <c r="D6" t="s">
        <v>376</v>
      </c>
      <c r="E6">
        <v>3800</v>
      </c>
      <c r="F6">
        <v>1210</v>
      </c>
      <c r="G6" s="14">
        <v>4.32</v>
      </c>
      <c r="H6" t="s">
        <v>374</v>
      </c>
      <c r="I6" s="14">
        <v>0</v>
      </c>
      <c r="J6" t="s">
        <v>275</v>
      </c>
    </row>
    <row r="7" spans="1:10" x14ac:dyDescent="0.25">
      <c r="A7">
        <v>6</v>
      </c>
      <c r="B7" s="21">
        <v>46273.76041666667</v>
      </c>
      <c r="C7" t="s">
        <v>182</v>
      </c>
      <c r="D7" t="s">
        <v>377</v>
      </c>
      <c r="E7">
        <v>1360</v>
      </c>
      <c r="F7">
        <v>1718</v>
      </c>
      <c r="G7" s="14">
        <v>123.45</v>
      </c>
      <c r="H7" t="s">
        <v>371</v>
      </c>
      <c r="I7" s="14">
        <v>19.71</v>
      </c>
      <c r="J7" t="s">
        <v>182</v>
      </c>
    </row>
    <row r="8" spans="1:10" x14ac:dyDescent="0.25">
      <c r="A8">
        <v>7</v>
      </c>
      <c r="B8" s="21">
        <v>46273.76041666667</v>
      </c>
      <c r="C8" t="s">
        <v>182</v>
      </c>
      <c r="D8" t="s">
        <v>378</v>
      </c>
      <c r="E8">
        <v>4970</v>
      </c>
      <c r="F8">
        <v>1360</v>
      </c>
      <c r="G8" s="14">
        <v>3.42</v>
      </c>
      <c r="H8" t="s">
        <v>3</v>
      </c>
      <c r="I8" s="14">
        <v>0</v>
      </c>
      <c r="J8" t="s">
        <v>182</v>
      </c>
    </row>
    <row r="9" spans="1:10" x14ac:dyDescent="0.25">
      <c r="A9">
        <v>8</v>
      </c>
      <c r="B9" s="21">
        <v>46275.76041666667</v>
      </c>
      <c r="C9" t="s">
        <v>279</v>
      </c>
      <c r="D9" t="s">
        <v>379</v>
      </c>
      <c r="E9">
        <v>3200</v>
      </c>
      <c r="F9">
        <v>1210</v>
      </c>
      <c r="G9" s="14">
        <v>144.86</v>
      </c>
      <c r="H9" t="s">
        <v>3</v>
      </c>
      <c r="I9" s="14">
        <v>0</v>
      </c>
      <c r="J9" t="s">
        <v>279</v>
      </c>
    </row>
    <row r="10" spans="1:10" x14ac:dyDescent="0.25">
      <c r="A10">
        <v>9</v>
      </c>
      <c r="B10" s="21">
        <v>46275.76041666667</v>
      </c>
      <c r="C10" t="s">
        <v>279</v>
      </c>
      <c r="D10" t="s">
        <v>380</v>
      </c>
      <c r="E10">
        <v>3800</v>
      </c>
      <c r="F10">
        <v>1210</v>
      </c>
      <c r="G10" s="14">
        <v>4.32</v>
      </c>
      <c r="H10" t="s">
        <v>374</v>
      </c>
      <c r="I10" s="14">
        <v>0</v>
      </c>
      <c r="J10" t="s">
        <v>279</v>
      </c>
    </row>
    <row r="11" spans="1:10" x14ac:dyDescent="0.25">
      <c r="A11">
        <v>10</v>
      </c>
      <c r="B11" s="21">
        <v>46275.76041666667</v>
      </c>
      <c r="C11" t="s">
        <v>197</v>
      </c>
      <c r="D11" t="s">
        <v>381</v>
      </c>
      <c r="E11">
        <v>1360</v>
      </c>
      <c r="F11">
        <v>1718</v>
      </c>
      <c r="G11" s="14">
        <v>211.39</v>
      </c>
      <c r="H11" t="s">
        <v>371</v>
      </c>
      <c r="I11" s="14">
        <v>33.75</v>
      </c>
      <c r="J11" t="s">
        <v>197</v>
      </c>
    </row>
    <row r="12" spans="1:10" x14ac:dyDescent="0.25">
      <c r="A12">
        <v>11</v>
      </c>
      <c r="B12" s="21">
        <v>46275.76041666667</v>
      </c>
      <c r="C12" t="s">
        <v>197</v>
      </c>
      <c r="D12" t="s">
        <v>382</v>
      </c>
      <c r="E12">
        <v>4970</v>
      </c>
      <c r="F12">
        <v>1360</v>
      </c>
      <c r="G12" s="14">
        <v>5.61</v>
      </c>
      <c r="H12" t="s">
        <v>3</v>
      </c>
      <c r="I12" s="14">
        <v>0</v>
      </c>
      <c r="J12" t="s">
        <v>197</v>
      </c>
    </row>
    <row r="13" spans="1:10" x14ac:dyDescent="0.25">
      <c r="A13">
        <v>12</v>
      </c>
      <c r="B13" s="21">
        <v>46277.76041666667</v>
      </c>
      <c r="C13" t="s">
        <v>285</v>
      </c>
      <c r="D13" t="s">
        <v>383</v>
      </c>
      <c r="E13">
        <v>3200</v>
      </c>
      <c r="F13">
        <v>1210</v>
      </c>
      <c r="G13" s="14">
        <v>37.3</v>
      </c>
      <c r="H13" t="s">
        <v>3</v>
      </c>
      <c r="I13" s="14">
        <v>0</v>
      </c>
      <c r="J13" t="s">
        <v>285</v>
      </c>
    </row>
    <row r="14" spans="1:10" x14ac:dyDescent="0.25">
      <c r="A14">
        <v>13</v>
      </c>
      <c r="B14" s="21">
        <v>46277.76041666667</v>
      </c>
      <c r="C14" t="s">
        <v>285</v>
      </c>
      <c r="D14" t="s">
        <v>384</v>
      </c>
      <c r="E14">
        <v>3800</v>
      </c>
      <c r="F14">
        <v>1210</v>
      </c>
      <c r="G14" s="14">
        <v>2.7</v>
      </c>
      <c r="H14" t="s">
        <v>374</v>
      </c>
      <c r="I14" s="14">
        <v>0</v>
      </c>
      <c r="J14" t="s">
        <v>285</v>
      </c>
    </row>
    <row r="15" spans="1:10" x14ac:dyDescent="0.25">
      <c r="A15">
        <v>14</v>
      </c>
      <c r="B15" s="21">
        <v>46277.76041666667</v>
      </c>
      <c r="C15" t="s">
        <v>291</v>
      </c>
      <c r="D15" t="s">
        <v>385</v>
      </c>
      <c r="E15">
        <v>3200</v>
      </c>
      <c r="F15">
        <v>1210</v>
      </c>
      <c r="G15" s="14">
        <v>12.97</v>
      </c>
      <c r="H15" t="s">
        <v>3</v>
      </c>
      <c r="I15" s="14">
        <v>0</v>
      </c>
      <c r="J15" t="s">
        <v>291</v>
      </c>
    </row>
    <row r="16" spans="1:10" x14ac:dyDescent="0.25">
      <c r="A16">
        <v>15</v>
      </c>
      <c r="B16" s="21">
        <v>46277.76041666667</v>
      </c>
      <c r="C16" t="s">
        <v>291</v>
      </c>
      <c r="D16" t="s">
        <v>386</v>
      </c>
      <c r="E16">
        <v>3800</v>
      </c>
      <c r="F16">
        <v>1210</v>
      </c>
      <c r="G16" s="14">
        <v>4.32</v>
      </c>
      <c r="H16" t="s">
        <v>374</v>
      </c>
      <c r="I16" s="14">
        <v>0</v>
      </c>
      <c r="J16" t="s">
        <v>291</v>
      </c>
    </row>
    <row r="17" spans="1:10" x14ac:dyDescent="0.25">
      <c r="A17">
        <v>16</v>
      </c>
      <c r="B17" s="21">
        <v>46282.30208333333</v>
      </c>
      <c r="C17" t="s">
        <v>194</v>
      </c>
      <c r="D17" t="s">
        <v>387</v>
      </c>
      <c r="E17">
        <v>3800</v>
      </c>
      <c r="F17">
        <v>1210</v>
      </c>
      <c r="G17" s="14">
        <v>26.49</v>
      </c>
      <c r="H17" t="s">
        <v>3</v>
      </c>
      <c r="I17" s="14">
        <v>0</v>
      </c>
      <c r="J17" t="s">
        <v>194</v>
      </c>
    </row>
    <row r="18" spans="1:10" x14ac:dyDescent="0.25">
      <c r="A18">
        <v>17</v>
      </c>
      <c r="B18" s="21">
        <v>46288.38541666667</v>
      </c>
      <c r="C18" t="s">
        <v>194</v>
      </c>
      <c r="D18" t="s">
        <v>388</v>
      </c>
      <c r="E18">
        <v>3850</v>
      </c>
      <c r="F18">
        <v>1200</v>
      </c>
      <c r="G18" s="14">
        <v>4.1</v>
      </c>
      <c r="H18" t="s">
        <v>3</v>
      </c>
      <c r="I18" s="14">
        <v>0</v>
      </c>
      <c r="J18" t="s">
        <v>194</v>
      </c>
    </row>
    <row r="19" spans="1:10" x14ac:dyDescent="0.25">
      <c r="A19">
        <v>18</v>
      </c>
      <c r="B19" s="21">
        <v>46288.38541666667</v>
      </c>
      <c r="C19" t="s">
        <v>194</v>
      </c>
      <c r="D19" t="s">
        <v>389</v>
      </c>
      <c r="E19">
        <v>1588</v>
      </c>
      <c r="F19">
        <v>1200</v>
      </c>
      <c r="G19" s="14">
        <v>63.4</v>
      </c>
      <c r="H19" t="s">
        <v>390</v>
      </c>
      <c r="I19" s="14">
        <v>63.4</v>
      </c>
      <c r="J19" t="s">
        <v>194</v>
      </c>
    </row>
    <row r="20" spans="1:10" x14ac:dyDescent="0.25">
      <c r="A20">
        <v>19</v>
      </c>
      <c r="B20" s="21">
        <v>46288.38541666667</v>
      </c>
      <c r="C20" t="s">
        <v>194</v>
      </c>
      <c r="D20" t="s">
        <v>391</v>
      </c>
      <c r="E20">
        <v>3800</v>
      </c>
      <c r="F20">
        <v>1200</v>
      </c>
      <c r="G20" s="14">
        <v>15</v>
      </c>
      <c r="H20" t="s">
        <v>3</v>
      </c>
      <c r="I20" s="14">
        <v>0</v>
      </c>
      <c r="J20" t="s">
        <v>194</v>
      </c>
    </row>
    <row r="21" spans="1:10" x14ac:dyDescent="0.25">
      <c r="A21">
        <v>20</v>
      </c>
      <c r="B21" s="21">
        <v>46289.55208333333</v>
      </c>
      <c r="C21" t="s">
        <v>195</v>
      </c>
      <c r="D21" t="s">
        <v>392</v>
      </c>
      <c r="E21">
        <v>1718</v>
      </c>
      <c r="F21">
        <v>8400</v>
      </c>
      <c r="G21" s="14">
        <v>123.45</v>
      </c>
      <c r="H21" t="s">
        <v>393</v>
      </c>
      <c r="I21" s="14">
        <v>0</v>
      </c>
      <c r="J21" t="s">
        <v>182</v>
      </c>
    </row>
    <row r="22" spans="1:10" x14ac:dyDescent="0.25">
      <c r="A22">
        <v>21</v>
      </c>
      <c r="B22" s="21">
        <v>46289.55208333333</v>
      </c>
      <c r="C22" t="s">
        <v>195</v>
      </c>
      <c r="D22" t="s">
        <v>394</v>
      </c>
      <c r="E22">
        <v>4910</v>
      </c>
      <c r="F22">
        <v>1200</v>
      </c>
      <c r="G22" s="14">
        <v>6.19</v>
      </c>
      <c r="H22" t="s">
        <v>3</v>
      </c>
      <c r="I22" s="14">
        <v>0</v>
      </c>
      <c r="J22" t="s">
        <v>182</v>
      </c>
    </row>
    <row r="23" spans="1:10" x14ac:dyDescent="0.25">
      <c r="A23">
        <v>22</v>
      </c>
      <c r="B23" s="21">
        <v>46289.55208333333</v>
      </c>
      <c r="C23" t="s">
        <v>205</v>
      </c>
      <c r="D23" t="s">
        <v>395</v>
      </c>
      <c r="E23">
        <v>1718</v>
      </c>
      <c r="F23">
        <v>8400</v>
      </c>
      <c r="G23" s="14">
        <v>211.39</v>
      </c>
      <c r="H23" t="s">
        <v>393</v>
      </c>
      <c r="I23" s="14">
        <v>0</v>
      </c>
      <c r="J23" t="s">
        <v>197</v>
      </c>
    </row>
    <row r="24" spans="1:10" x14ac:dyDescent="0.25">
      <c r="A24">
        <v>23</v>
      </c>
      <c r="B24" s="21">
        <v>46289.55208333333</v>
      </c>
      <c r="C24" t="s">
        <v>205</v>
      </c>
      <c r="D24" t="s">
        <v>396</v>
      </c>
      <c r="E24">
        <v>4910</v>
      </c>
      <c r="F24">
        <v>1200</v>
      </c>
      <c r="G24" s="14">
        <v>6.19</v>
      </c>
      <c r="H24" t="s">
        <v>3</v>
      </c>
      <c r="I24" s="14">
        <v>0</v>
      </c>
      <c r="J24" t="s">
        <v>197</v>
      </c>
    </row>
    <row r="25" spans="1:10" x14ac:dyDescent="0.25">
      <c r="A25">
        <v>24</v>
      </c>
      <c r="B25" s="21">
        <v>46289.55208333333</v>
      </c>
      <c r="C25" t="s">
        <v>216</v>
      </c>
      <c r="D25" t="s">
        <v>397</v>
      </c>
      <c r="E25">
        <v>1718</v>
      </c>
      <c r="F25">
        <v>8400</v>
      </c>
      <c r="G25" s="14">
        <v>107.65</v>
      </c>
      <c r="H25" t="s">
        <v>393</v>
      </c>
      <c r="I25" s="14">
        <v>0</v>
      </c>
      <c r="J25" t="s">
        <v>207</v>
      </c>
    </row>
    <row r="26" spans="1:10" x14ac:dyDescent="0.25">
      <c r="A26">
        <v>25</v>
      </c>
      <c r="B26" s="21">
        <v>46289.55208333333</v>
      </c>
      <c r="C26" t="s">
        <v>216</v>
      </c>
      <c r="D26" t="s">
        <v>398</v>
      </c>
      <c r="E26">
        <v>4910</v>
      </c>
      <c r="F26">
        <v>1200</v>
      </c>
      <c r="G26" s="14">
        <v>14.9</v>
      </c>
      <c r="H26" t="s">
        <v>3</v>
      </c>
      <c r="I26" s="14">
        <v>0</v>
      </c>
      <c r="J26" t="s">
        <v>207</v>
      </c>
    </row>
    <row r="27" spans="1:10" x14ac:dyDescent="0.25">
      <c r="A27">
        <v>26</v>
      </c>
      <c r="B27" s="21">
        <v>46304.76041666667</v>
      </c>
      <c r="C27" t="s">
        <v>296</v>
      </c>
      <c r="D27" t="s">
        <v>399</v>
      </c>
      <c r="E27">
        <v>3200</v>
      </c>
      <c r="F27">
        <v>1210</v>
      </c>
      <c r="G27" s="14">
        <v>85.41</v>
      </c>
      <c r="H27" t="s">
        <v>3</v>
      </c>
      <c r="I27" s="14">
        <v>0</v>
      </c>
      <c r="J27" t="s">
        <v>296</v>
      </c>
    </row>
    <row r="28" spans="1:10" x14ac:dyDescent="0.25">
      <c r="A28">
        <v>27</v>
      </c>
      <c r="B28" s="21">
        <v>46304.76041666667</v>
      </c>
      <c r="C28" t="s">
        <v>296</v>
      </c>
      <c r="D28" t="s">
        <v>400</v>
      </c>
      <c r="E28">
        <v>3800</v>
      </c>
      <c r="F28">
        <v>1210</v>
      </c>
      <c r="G28" s="14">
        <v>4.32</v>
      </c>
      <c r="H28" t="s">
        <v>374</v>
      </c>
      <c r="I28" s="14">
        <v>0</v>
      </c>
      <c r="J28" t="s">
        <v>296</v>
      </c>
    </row>
    <row r="29" spans="1:10" x14ac:dyDescent="0.25">
      <c r="A29">
        <v>28</v>
      </c>
      <c r="B29" s="21">
        <v>46304.76041666667</v>
      </c>
      <c r="C29" t="s">
        <v>300</v>
      </c>
      <c r="D29" t="s">
        <v>401</v>
      </c>
      <c r="E29">
        <v>3200</v>
      </c>
      <c r="F29">
        <v>1210</v>
      </c>
      <c r="G29" s="14">
        <v>18.92</v>
      </c>
      <c r="H29" t="s">
        <v>3</v>
      </c>
      <c r="I29" s="14">
        <v>0</v>
      </c>
      <c r="J29" t="s">
        <v>300</v>
      </c>
    </row>
    <row r="30" spans="1:10" x14ac:dyDescent="0.25">
      <c r="A30">
        <v>29</v>
      </c>
      <c r="B30" s="21">
        <v>46304.76041666667</v>
      </c>
      <c r="C30" t="s">
        <v>300</v>
      </c>
      <c r="D30" t="s">
        <v>402</v>
      </c>
      <c r="E30">
        <v>3800</v>
      </c>
      <c r="F30">
        <v>1210</v>
      </c>
      <c r="G30" s="14">
        <v>4.32</v>
      </c>
      <c r="H30" t="s">
        <v>374</v>
      </c>
      <c r="I30" s="14">
        <v>0</v>
      </c>
      <c r="J30" t="s">
        <v>300</v>
      </c>
    </row>
    <row r="31" spans="1:10" x14ac:dyDescent="0.25">
      <c r="A31">
        <v>30</v>
      </c>
      <c r="B31" s="21">
        <v>46304.76041666667</v>
      </c>
      <c r="C31" t="s">
        <v>218</v>
      </c>
      <c r="D31" t="s">
        <v>403</v>
      </c>
      <c r="E31">
        <v>1360</v>
      </c>
      <c r="F31">
        <v>1718</v>
      </c>
      <c r="G31" s="14">
        <v>164.79</v>
      </c>
      <c r="H31" t="s">
        <v>371</v>
      </c>
      <c r="I31" s="14">
        <v>26.31</v>
      </c>
      <c r="J31" t="s">
        <v>218</v>
      </c>
    </row>
    <row r="32" spans="1:10" x14ac:dyDescent="0.25">
      <c r="A32">
        <v>31</v>
      </c>
      <c r="B32" s="21">
        <v>46304.76041666667</v>
      </c>
      <c r="C32" t="s">
        <v>218</v>
      </c>
      <c r="D32" t="s">
        <v>378</v>
      </c>
      <c r="E32">
        <v>4970</v>
      </c>
      <c r="F32">
        <v>1360</v>
      </c>
      <c r="G32" s="14">
        <v>4.45</v>
      </c>
      <c r="H32" t="s">
        <v>3</v>
      </c>
      <c r="I32" s="14">
        <v>0</v>
      </c>
      <c r="J32" t="s">
        <v>218</v>
      </c>
    </row>
    <row r="33" spans="1:10" x14ac:dyDescent="0.25">
      <c r="A33">
        <v>32</v>
      </c>
      <c r="B33" s="21">
        <v>46308.76041666667</v>
      </c>
      <c r="C33" t="s">
        <v>308</v>
      </c>
      <c r="D33" t="s">
        <v>404</v>
      </c>
      <c r="E33">
        <v>3200</v>
      </c>
      <c r="F33">
        <v>1210</v>
      </c>
      <c r="G33" s="14">
        <v>40</v>
      </c>
      <c r="H33" t="s">
        <v>3</v>
      </c>
      <c r="I33" s="14">
        <v>0</v>
      </c>
      <c r="J33" t="s">
        <v>308</v>
      </c>
    </row>
    <row r="34" spans="1:10" x14ac:dyDescent="0.25">
      <c r="A34">
        <v>33</v>
      </c>
      <c r="B34" s="21">
        <v>46308.76041666667</v>
      </c>
      <c r="C34" t="s">
        <v>308</v>
      </c>
      <c r="D34" t="s">
        <v>405</v>
      </c>
      <c r="E34">
        <v>3800</v>
      </c>
      <c r="F34">
        <v>1210</v>
      </c>
      <c r="G34" s="14">
        <v>4.32</v>
      </c>
      <c r="H34" t="s">
        <v>374</v>
      </c>
      <c r="I34" s="14">
        <v>0</v>
      </c>
      <c r="J34" t="s">
        <v>308</v>
      </c>
    </row>
    <row r="35" spans="1:10" x14ac:dyDescent="0.25">
      <c r="A35">
        <v>34</v>
      </c>
      <c r="B35" s="21">
        <v>46308.76041666667</v>
      </c>
      <c r="C35" t="s">
        <v>226</v>
      </c>
      <c r="D35" t="s">
        <v>406</v>
      </c>
      <c r="E35">
        <v>1360</v>
      </c>
      <c r="F35">
        <v>1718</v>
      </c>
      <c r="G35" s="14">
        <v>67.93</v>
      </c>
      <c r="H35" t="s">
        <v>371</v>
      </c>
      <c r="I35" s="14">
        <v>10.85</v>
      </c>
      <c r="J35" t="s">
        <v>226</v>
      </c>
    </row>
    <row r="36" spans="1:10" x14ac:dyDescent="0.25">
      <c r="A36">
        <v>35</v>
      </c>
      <c r="B36" s="21">
        <v>46308.76041666667</v>
      </c>
      <c r="C36" t="s">
        <v>226</v>
      </c>
      <c r="D36" t="s">
        <v>382</v>
      </c>
      <c r="E36">
        <v>4970</v>
      </c>
      <c r="F36">
        <v>1360</v>
      </c>
      <c r="G36" s="14">
        <v>2.04</v>
      </c>
      <c r="H36" t="s">
        <v>3</v>
      </c>
      <c r="I36" s="14">
        <v>0</v>
      </c>
      <c r="J36" t="s">
        <v>226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7" customWidth="1"/>
    <col min="6" max="6" width="12" customWidth="1"/>
  </cols>
  <sheetData>
    <row r="1" ht="22" customHeight="1" spans="1:6" s="5" customFormat="1" x14ac:dyDescent="0.25">
      <c r="A1" s="5" t="s">
        <v>407</v>
      </c>
      <c r="B1" s="5" t="s">
        <v>408</v>
      </c>
      <c r="C1" s="5" t="s">
        <v>409</v>
      </c>
      <c r="D1" s="5" t="s">
        <v>410</v>
      </c>
      <c r="E1" s="5" t="s">
        <v>411</v>
      </c>
      <c r="F1" s="5" t="s">
        <v>412</v>
      </c>
    </row>
    <row r="2" spans="1:6" x14ac:dyDescent="0.25">
      <c r="A2">
        <v>1</v>
      </c>
      <c r="B2" s="21">
        <v>46272.30208333333</v>
      </c>
      <c r="C2" t="s">
        <v>186</v>
      </c>
      <c r="D2" t="s">
        <v>413</v>
      </c>
      <c r="E2" t="s">
        <v>182</v>
      </c>
      <c r="F2" t="s">
        <v>414</v>
      </c>
    </row>
    <row r="3" spans="1:6" x14ac:dyDescent="0.25">
      <c r="A3">
        <v>2</v>
      </c>
      <c r="B3" s="21">
        <v>46274.30208333333</v>
      </c>
      <c r="C3" t="s">
        <v>200</v>
      </c>
      <c r="D3" t="s">
        <v>415</v>
      </c>
      <c r="E3" t="s">
        <v>197</v>
      </c>
      <c r="F3" t="s">
        <v>416</v>
      </c>
    </row>
    <row r="4" spans="1:6" x14ac:dyDescent="0.25">
      <c r="A4">
        <v>3</v>
      </c>
      <c r="B4" s="21">
        <v>46276.30208333333</v>
      </c>
      <c r="C4" t="s">
        <v>210</v>
      </c>
      <c r="D4" t="s">
        <v>417</v>
      </c>
      <c r="E4" t="s">
        <v>207</v>
      </c>
      <c r="F4" t="s">
        <v>418</v>
      </c>
    </row>
    <row r="5" spans="1:6" x14ac:dyDescent="0.25">
      <c r="A5">
        <v>4</v>
      </c>
      <c r="B5" s="21">
        <v>46303.30208333333</v>
      </c>
      <c r="C5" t="s">
        <v>222</v>
      </c>
      <c r="D5" t="s">
        <v>419</v>
      </c>
      <c r="E5" t="s">
        <v>218</v>
      </c>
      <c r="F5" t="s">
        <v>420</v>
      </c>
    </row>
    <row r="6" spans="1:6" x14ac:dyDescent="0.25">
      <c r="A6">
        <v>5</v>
      </c>
      <c r="B6" s="21">
        <v>46307.30208333333</v>
      </c>
      <c r="C6" t="s">
        <v>229</v>
      </c>
      <c r="D6" t="s">
        <v>421</v>
      </c>
      <c r="E6" t="s">
        <v>226</v>
      </c>
      <c r="F6" t="s">
        <v>422</v>
      </c>
    </row>
    <row r="7" spans="1:6" x14ac:dyDescent="0.25">
      <c r="A7">
        <v>6</v>
      </c>
      <c r="B7" s="21">
        <v>46312.30208333333</v>
      </c>
      <c r="C7" t="s">
        <v>237</v>
      </c>
      <c r="D7" t="s">
        <v>423</v>
      </c>
      <c r="E7" t="s">
        <v>233</v>
      </c>
      <c r="F7" t="s">
        <v>424</v>
      </c>
    </row>
    <row r="8" spans="1:6" x14ac:dyDescent="0.25">
      <c r="A8">
        <v>7</v>
      </c>
      <c r="B8" s="21">
        <v>46273.76041666667</v>
      </c>
      <c r="C8" t="s">
        <v>186</v>
      </c>
      <c r="D8" t="s">
        <v>425</v>
      </c>
      <c r="E8" t="s">
        <v>182</v>
      </c>
      <c r="F8" t="s">
        <v>426</v>
      </c>
    </row>
    <row r="9" spans="1:6" x14ac:dyDescent="0.25">
      <c r="A9">
        <v>8</v>
      </c>
      <c r="B9" s="21">
        <v>46275.76041666667</v>
      </c>
      <c r="C9" t="s">
        <v>200</v>
      </c>
      <c r="D9" t="s">
        <v>427</v>
      </c>
      <c r="E9" t="s">
        <v>197</v>
      </c>
      <c r="F9" t="s">
        <v>428</v>
      </c>
    </row>
    <row r="10" spans="1:6" x14ac:dyDescent="0.25">
      <c r="A10">
        <v>9</v>
      </c>
      <c r="B10" s="21">
        <v>46277.76041666667</v>
      </c>
      <c r="C10" t="s">
        <v>210</v>
      </c>
      <c r="D10" t="s">
        <v>429</v>
      </c>
      <c r="E10" t="s">
        <v>207</v>
      </c>
      <c r="F10" t="s">
        <v>430</v>
      </c>
    </row>
    <row r="11" spans="1:6" x14ac:dyDescent="0.25">
      <c r="A11">
        <v>10</v>
      </c>
      <c r="B11" s="21">
        <v>46282.30208333333</v>
      </c>
      <c r="C11" t="s">
        <v>186</v>
      </c>
      <c r="D11" t="s">
        <v>431</v>
      </c>
      <c r="E11" t="s">
        <v>182</v>
      </c>
      <c r="F11" t="s">
        <v>432</v>
      </c>
    </row>
    <row r="12" spans="1:6" x14ac:dyDescent="0.25">
      <c r="A12">
        <v>11</v>
      </c>
      <c r="B12" s="21">
        <v>46282.30208333333</v>
      </c>
      <c r="C12" t="s">
        <v>200</v>
      </c>
      <c r="D12" t="s">
        <v>433</v>
      </c>
      <c r="E12" t="s">
        <v>197</v>
      </c>
      <c r="F12" t="s">
        <v>434</v>
      </c>
    </row>
    <row r="13" spans="1:6" x14ac:dyDescent="0.25">
      <c r="A13">
        <v>12</v>
      </c>
      <c r="B13" s="21">
        <v>46282.30208333333</v>
      </c>
      <c r="C13" t="s">
        <v>210</v>
      </c>
      <c r="D13" t="s">
        <v>435</v>
      </c>
      <c r="E13" t="s">
        <v>207</v>
      </c>
      <c r="F13" t="s">
        <v>436</v>
      </c>
    </row>
    <row r="14" spans="1:6" x14ac:dyDescent="0.25">
      <c r="A14">
        <v>13</v>
      </c>
      <c r="B14" s="21">
        <v>46289.55208333333</v>
      </c>
      <c r="C14" t="s">
        <v>186</v>
      </c>
      <c r="D14" t="s">
        <v>437</v>
      </c>
      <c r="E14" t="s">
        <v>182</v>
      </c>
      <c r="F14" t="s">
        <v>438</v>
      </c>
    </row>
    <row r="15" spans="1:6" x14ac:dyDescent="0.25">
      <c r="A15">
        <v>14</v>
      </c>
      <c r="B15" s="21">
        <v>46289.55208333333</v>
      </c>
      <c r="C15" t="s">
        <v>200</v>
      </c>
      <c r="D15" t="s">
        <v>439</v>
      </c>
      <c r="E15" t="s">
        <v>197</v>
      </c>
      <c r="F15" t="s">
        <v>440</v>
      </c>
    </row>
    <row r="16" spans="1:6" x14ac:dyDescent="0.25">
      <c r="A16">
        <v>15</v>
      </c>
      <c r="B16" s="21">
        <v>46289.55208333333</v>
      </c>
      <c r="C16" t="s">
        <v>210</v>
      </c>
      <c r="D16" t="s">
        <v>441</v>
      </c>
      <c r="E16" t="s">
        <v>207</v>
      </c>
      <c r="F16" t="s">
        <v>442</v>
      </c>
    </row>
    <row r="17" spans="1:6" x14ac:dyDescent="0.25">
      <c r="A17">
        <v>16</v>
      </c>
      <c r="B17" s="21">
        <v>46304.76041666667</v>
      </c>
      <c r="C17" t="s">
        <v>222</v>
      </c>
      <c r="D17" t="s">
        <v>443</v>
      </c>
      <c r="E17" t="s">
        <v>218</v>
      </c>
      <c r="F17" t="s">
        <v>444</v>
      </c>
    </row>
    <row r="18" spans="1:6" x14ac:dyDescent="0.25">
      <c r="A18">
        <v>17</v>
      </c>
      <c r="B18" s="21">
        <v>46308.76041666667</v>
      </c>
      <c r="C18" t="s">
        <v>229</v>
      </c>
      <c r="D18" t="s">
        <v>445</v>
      </c>
      <c r="E18" t="s">
        <v>226</v>
      </c>
      <c r="F18" t="s">
        <v>446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13" customWidth="1"/>
    <col min="4" max="4" width="15" customWidth="1"/>
  </cols>
  <sheetData>
    <row r="1" ht="22" customHeight="1" spans="1:4" s="5" customFormat="1" x14ac:dyDescent="0.25">
      <c r="A1" s="5" t="s">
        <v>447</v>
      </c>
      <c r="B1" s="5" t="s">
        <v>448</v>
      </c>
      <c r="C1" s="5" t="s">
        <v>449</v>
      </c>
      <c r="D1" s="5" t="s">
        <v>450</v>
      </c>
    </row>
    <row r="2" spans="1:4" x14ac:dyDescent="0.25">
      <c r="A2" s="21">
        <v>46272.30208333333</v>
      </c>
      <c r="B2" t="s">
        <v>451</v>
      </c>
      <c r="C2" t="s">
        <v>182</v>
      </c>
      <c r="D2" t="s">
        <v>452</v>
      </c>
    </row>
    <row r="3" spans="1:4" x14ac:dyDescent="0.25">
      <c r="A3" s="21">
        <v>46272.30208333333</v>
      </c>
      <c r="B3" t="s">
        <v>453</v>
      </c>
      <c r="C3" t="s">
        <v>182</v>
      </c>
      <c r="D3" t="s">
        <v>454</v>
      </c>
    </row>
    <row r="4" spans="1:4" x14ac:dyDescent="0.25">
      <c r="A4" s="21">
        <v>46274.30208333333</v>
      </c>
      <c r="B4" t="s">
        <v>451</v>
      </c>
      <c r="C4" t="s">
        <v>197</v>
      </c>
      <c r="D4" t="s">
        <v>455</v>
      </c>
    </row>
    <row r="5" spans="1:4" x14ac:dyDescent="0.25">
      <c r="A5" s="21">
        <v>46274.30208333333</v>
      </c>
      <c r="B5" t="s">
        <v>453</v>
      </c>
      <c r="C5" t="s">
        <v>197</v>
      </c>
      <c r="D5" t="s">
        <v>456</v>
      </c>
    </row>
    <row r="6" spans="1:4" x14ac:dyDescent="0.25">
      <c r="A6" s="21">
        <v>46276.30208333333</v>
      </c>
      <c r="B6" t="s">
        <v>451</v>
      </c>
      <c r="C6" t="s">
        <v>207</v>
      </c>
      <c r="D6" t="s">
        <v>457</v>
      </c>
    </row>
    <row r="7" spans="1:4" x14ac:dyDescent="0.25">
      <c r="A7" s="21">
        <v>46277.67708333333</v>
      </c>
      <c r="B7" t="s">
        <v>458</v>
      </c>
      <c r="C7" t="s">
        <v>207</v>
      </c>
      <c r="D7" t="s">
        <v>459</v>
      </c>
    </row>
    <row r="8" spans="1:4" x14ac:dyDescent="0.25">
      <c r="A8" s="21">
        <v>46303.30208333333</v>
      </c>
      <c r="B8" t="s">
        <v>451</v>
      </c>
      <c r="C8" t="s">
        <v>218</v>
      </c>
      <c r="D8" t="s">
        <v>460</v>
      </c>
    </row>
    <row r="9" spans="1:4" x14ac:dyDescent="0.25">
      <c r="A9" s="21">
        <v>46303.30208333333</v>
      </c>
      <c r="B9" t="s">
        <v>453</v>
      </c>
      <c r="C9" t="s">
        <v>218</v>
      </c>
      <c r="D9" t="s">
        <v>461</v>
      </c>
    </row>
    <row r="10" spans="1:4" x14ac:dyDescent="0.25">
      <c r="A10" s="21">
        <v>46307.30208333333</v>
      </c>
      <c r="B10" t="s">
        <v>451</v>
      </c>
      <c r="C10" t="s">
        <v>226</v>
      </c>
      <c r="D10" t="s">
        <v>462</v>
      </c>
    </row>
    <row r="11" spans="1:4" x14ac:dyDescent="0.25">
      <c r="A11" s="21">
        <v>46307.30208333333</v>
      </c>
      <c r="B11" t="s">
        <v>453</v>
      </c>
      <c r="C11" t="s">
        <v>226</v>
      </c>
      <c r="D11" t="s">
        <v>463</v>
      </c>
    </row>
    <row r="12" spans="1:4" x14ac:dyDescent="0.25">
      <c r="A12" s="21">
        <v>46312.30208333333</v>
      </c>
      <c r="B12" t="s">
        <v>451</v>
      </c>
      <c r="C12" t="s">
        <v>233</v>
      </c>
      <c r="D12" t="s">
        <v>464</v>
      </c>
    </row>
    <row r="13" spans="1:4" x14ac:dyDescent="0.25">
      <c r="A13" s="21">
        <v>46312.30208333333</v>
      </c>
      <c r="B13" t="s">
        <v>453</v>
      </c>
      <c r="C13" t="s">
        <v>233</v>
      </c>
      <c r="D13" t="s">
        <v>465</v>
      </c>
    </row>
    <row r="14" spans="1:4" x14ac:dyDescent="0.25">
      <c r="A14" s="21">
        <v>46273.76041666667</v>
      </c>
      <c r="B14" t="s">
        <v>466</v>
      </c>
      <c r="C14" t="s">
        <v>269</v>
      </c>
      <c r="D14" t="s">
        <v>467</v>
      </c>
    </row>
    <row r="15" spans="1:4" x14ac:dyDescent="0.25">
      <c r="A15" s="21">
        <v>46273.76041666667</v>
      </c>
      <c r="B15" t="s">
        <v>466</v>
      </c>
      <c r="C15" t="s">
        <v>275</v>
      </c>
      <c r="D15" t="s">
        <v>468</v>
      </c>
    </row>
    <row r="16" spans="1:4" x14ac:dyDescent="0.25">
      <c r="A16" s="21">
        <v>46275.76041666667</v>
      </c>
      <c r="B16" t="s">
        <v>466</v>
      </c>
      <c r="C16" t="s">
        <v>279</v>
      </c>
      <c r="D16" t="s">
        <v>469</v>
      </c>
    </row>
    <row r="17" spans="1:4" x14ac:dyDescent="0.25">
      <c r="A17" s="21">
        <v>46277.76041666667</v>
      </c>
      <c r="B17" t="s">
        <v>466</v>
      </c>
      <c r="C17" t="s">
        <v>285</v>
      </c>
      <c r="D17" t="s">
        <v>470</v>
      </c>
    </row>
    <row r="18" spans="1:4" x14ac:dyDescent="0.25">
      <c r="A18" s="21">
        <v>46277.76041666667</v>
      </c>
      <c r="B18" t="s">
        <v>466</v>
      </c>
      <c r="C18" t="s">
        <v>291</v>
      </c>
      <c r="D18" t="s">
        <v>471</v>
      </c>
    </row>
    <row r="19" spans="1:4" x14ac:dyDescent="0.25">
      <c r="A19" s="21">
        <v>46282.26041666667</v>
      </c>
      <c r="B19" t="s">
        <v>472</v>
      </c>
      <c r="C19" t="s">
        <v>194</v>
      </c>
      <c r="D19" t="s">
        <v>473</v>
      </c>
    </row>
    <row r="20" spans="1:4" x14ac:dyDescent="0.25">
      <c r="A20" s="21">
        <v>46282.30208333333</v>
      </c>
      <c r="B20" t="s">
        <v>474</v>
      </c>
      <c r="C20" t="s">
        <v>194</v>
      </c>
      <c r="D20" t="s">
        <v>475</v>
      </c>
    </row>
    <row r="21" spans="1:4" x14ac:dyDescent="0.25">
      <c r="A21" s="21">
        <v>46288.38541666667</v>
      </c>
      <c r="B21" t="s">
        <v>476</v>
      </c>
      <c r="C21" t="s">
        <v>194</v>
      </c>
      <c r="D21" t="s">
        <v>477</v>
      </c>
    </row>
    <row r="22" spans="1:4" x14ac:dyDescent="0.25">
      <c r="A22" s="21">
        <v>46289.55208333333</v>
      </c>
      <c r="B22" t="s">
        <v>478</v>
      </c>
      <c r="C22" t="s">
        <v>182</v>
      </c>
      <c r="D22" t="s">
        <v>479</v>
      </c>
    </row>
    <row r="23" spans="1:4" x14ac:dyDescent="0.25">
      <c r="A23" s="21">
        <v>46289.55208333333</v>
      </c>
      <c r="B23" t="s">
        <v>478</v>
      </c>
      <c r="C23" t="s">
        <v>197</v>
      </c>
      <c r="D23" t="s">
        <v>480</v>
      </c>
    </row>
    <row r="24" spans="1:4" x14ac:dyDescent="0.25">
      <c r="A24" s="21">
        <v>46289.55208333333</v>
      </c>
      <c r="B24" t="s">
        <v>478</v>
      </c>
      <c r="C24" t="s">
        <v>207</v>
      </c>
      <c r="D24" t="s">
        <v>481</v>
      </c>
    </row>
    <row r="25" spans="1:4" x14ac:dyDescent="0.25">
      <c r="A25" s="21">
        <v>46304.76041666667</v>
      </c>
      <c r="B25" t="s">
        <v>466</v>
      </c>
      <c r="C25" t="s">
        <v>296</v>
      </c>
      <c r="D25" t="s">
        <v>482</v>
      </c>
    </row>
    <row r="26" spans="1:4" x14ac:dyDescent="0.25">
      <c r="A26" s="21">
        <v>46304.76041666667</v>
      </c>
      <c r="B26" t="s">
        <v>466</v>
      </c>
      <c r="C26" t="s">
        <v>300</v>
      </c>
      <c r="D26" t="s">
        <v>483</v>
      </c>
    </row>
    <row r="27" spans="1:4" x14ac:dyDescent="0.25">
      <c r="A27" s="21">
        <v>46304.76041666667</v>
      </c>
      <c r="B27" t="s">
        <v>484</v>
      </c>
      <c r="C27" t="s">
        <v>304</v>
      </c>
      <c r="D27" t="s">
        <v>3</v>
      </c>
    </row>
    <row r="28" spans="1:4" x14ac:dyDescent="0.25">
      <c r="A28" s="21">
        <v>46308.76041666667</v>
      </c>
      <c r="B28" t="s">
        <v>466</v>
      </c>
      <c r="C28" t="s">
        <v>308</v>
      </c>
      <c r="D28" t="s">
        <v>485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171A"/>
  </sheetPr>
  <dimension ref="A1:B19"/>
  <sheetFormatPr defaultRowHeight="15" outlineLevelRow="0" outlineLevelCol="0" x14ac:dyDescent="55"/>
  <cols>
    <col min="1" max="1" width="46" customWidth="1"/>
    <col min="2" max="2" width="18" customWidth="1"/>
  </cols>
  <sheetData>
    <row r="1" spans="1:1" x14ac:dyDescent="0.25">
      <c r="A1" s="9" t="s">
        <v>486</v>
      </c>
    </row>
    <row r="3" spans="1:2" x14ac:dyDescent="0.25">
      <c r="A3" t="s">
        <v>487</v>
      </c>
      <c r="B3" s="22">
        <f>COUNTA(Bestellungen!A:A)-1</f>
      </c>
    </row>
    <row r="4" spans="1:2" x14ac:dyDescent="0.25">
      <c r="A4" t="s">
        <v>488</v>
      </c>
      <c r="B4" s="22">
        <f>COUNTIF(Bestellungen!D:D,"neu")</f>
      </c>
    </row>
    <row r="5" spans="1:2" x14ac:dyDescent="0.25">
      <c r="A5" t="s">
        <v>489</v>
      </c>
      <c r="B5" s="22">
        <f>COUNTIF(Bestellungen!D:D,"zahlung_offen")</f>
      </c>
    </row>
    <row r="6" spans="1:2" x14ac:dyDescent="0.25">
      <c r="A6" t="s">
        <v>490</v>
      </c>
      <c r="B6" s="22">
        <f>COUNTIF(Bestellungen!D:D,"gekauft")</f>
      </c>
    </row>
    <row r="7" spans="1:2" x14ac:dyDescent="0.25">
      <c r="A7" t="s">
        <v>491</v>
      </c>
      <c r="B7" s="22">
        <f>COUNTIF(Bestellungen!D:D,"unterwegs")</f>
      </c>
    </row>
    <row r="8" spans="1:2" x14ac:dyDescent="0.25">
      <c r="A8" t="s">
        <v>492</v>
      </c>
      <c r="B8" s="22">
        <f>COUNTIF(Bestellungen!D:D,"angekommen")</f>
      </c>
    </row>
    <row r="9" spans="1:2" x14ac:dyDescent="0.25">
      <c r="A9" t="s">
        <v>493</v>
      </c>
      <c r="B9" s="22">
        <f>COUNTIF(Bestellungen!D:D,"versendet")</f>
      </c>
    </row>
    <row r="10" spans="1:2" x14ac:dyDescent="0.25">
      <c r="A10" t="s">
        <v>494</v>
      </c>
      <c r="B10" s="14">
        <f>SUM(Bestellungen!O:O)</f>
      </c>
    </row>
    <row r="11" spans="1:2" x14ac:dyDescent="0.25">
      <c r="A11" t="s">
        <v>495</v>
      </c>
      <c r="B11" s="14">
        <f>SUMIF(Bestellungen!O:O,"&gt;0",Bestellungen!R:R)</f>
      </c>
    </row>
    <row r="12" spans="1:2" x14ac:dyDescent="0.25">
      <c r="A12" t="s">
        <v>496</v>
      </c>
      <c r="B12" s="14">
        <f>SUM(Sammelsendungen!P:P)</f>
      </c>
    </row>
    <row r="13" spans="1:2" x14ac:dyDescent="0.25">
      <c r="A13" t="s">
        <v>497</v>
      </c>
      <c r="B13" s="14">
        <f>SUM(Sammelsendungen!Q:Q)</f>
      </c>
    </row>
    <row r="14" spans="1:2" x14ac:dyDescent="0.25">
      <c r="A14" t="s">
        <v>498</v>
      </c>
      <c r="B14" s="14">
        <f>SUM(Sammelsendungen!R:R)</f>
      </c>
    </row>
    <row r="15" spans="1:2" x14ac:dyDescent="0.25">
      <c r="A15" t="s">
        <v>499</v>
      </c>
      <c r="B15" s="22">
        <f>COUNTIF(Rechnungen!E:E,"Rechnung")</f>
      </c>
    </row>
    <row r="16" spans="1:2" x14ac:dyDescent="0.25">
      <c r="A16" t="s">
        <v>500</v>
      </c>
      <c r="B16" s="22">
        <f>COUNTIF(Rechnungen!E:E,"Gutschrift")</f>
      </c>
    </row>
    <row r="19" spans="1:1" x14ac:dyDescent="0.25">
      <c r="A19" s="23" t="s">
        <v>501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Start</vt:lpstr>
      <vt:lpstr>Parameter</vt:lpstr>
      <vt:lpstr>Kalkulator</vt:lpstr>
      <vt:lpstr>Bestellungen</vt:lpstr>
      <vt:lpstr>Positionen</vt:lpstr>
      <vt:lpstr>Sammelsendungen</vt:lpstr>
      <vt:lpstr>Rechnungen</vt:lpstr>
      <vt:lpstr>Journal</vt:lpstr>
      <vt:lpstr>Postausgang</vt:lpstr>
      <vt:lpstr>Protokoll</vt:lpstr>
      <vt:lpstr>Auswertung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Tsumiki</dc:creator>
  <dc:title/>
  <dc:subject/>
  <dc:description/>
  <cp:keywords/>
  <cp:category/>
  <cp:lastModifiedBy>Unknown</cp:lastModifiedBy>
  <dcterms:created xsi:type="dcterms:W3CDTF">2026-10-17T00:14:16Z</dcterms:created>
  <dcterms:modified xsi:type="dcterms:W3CDTF">2026-10-17T00:14:16Z</dcterms:modified>
</cp:coreProperties>
</file>